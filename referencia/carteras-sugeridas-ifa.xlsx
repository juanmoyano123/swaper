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updateLinks="always" defaultThemeVersion="166925"/>
  <mc:AlternateContent xmlns:mc="http://schemas.openxmlformats.org/markup-compatibility/2006">
    <mc:Choice Requires="x15">
      <x15ac:absPath xmlns:x15ac="http://schemas.microsoft.com/office/spreadsheetml/2010/11/ac" url="https://balanzcapitalsa.sharepoint.com/sites/IFA/Shared Documents/General/TEAM MESA/"/>
    </mc:Choice>
  </mc:AlternateContent>
  <xr:revisionPtr revIDLastSave="0" documentId="8_{0DFB5692-9BEB-435B-88D3-91922DC809EB}" xr6:coauthVersionLast="47" xr6:coauthVersionMax="47" xr10:uidLastSave="{00000000-0000-0000-0000-000000000000}"/>
  <workbookProtection workbookAlgorithmName="SHA-512" workbookHashValue="LYpfOz0Zya6D6rD/K7BY5WVindeNbMxIMs2GapDPiMpRIhg1RLFVWzoHwxhJcpoF0g9mwpCYz67O1iPjn44iOQ==" workbookSaltValue="144vkh2eoRdIADR5jWdX6g==" workbookSpinCount="100000" lockStructure="1"/>
  <bookViews>
    <workbookView xWindow="-108" yWindow="-108" windowWidth="23256" windowHeight="12456" tabRatio="641" firstSheet="2" activeTab="2" xr2:uid="{00000000-000D-0000-FFFF-FFFF00000000}"/>
  </bookViews>
  <sheets>
    <sheet name="Resumen" sheetId="2" r:id="rId1"/>
    <sheet name="CarteraAudaz" sheetId="3" r:id="rId2"/>
    <sheet name="CarteraModerada" sheetId="5" r:id="rId3"/>
    <sheet name="IndicesFlujos" sheetId="9" r:id="rId4"/>
    <sheet name="CarteraConservadora" sheetId="8" r:id="rId5"/>
    <sheet name="CalendarioDePagos" sheetId="6" r:id="rId6"/>
    <sheet name="Commodities" sheetId="7" r:id="rId7"/>
    <sheet name="TradeBook" sheetId="10" r:id="rId8"/>
  </sheets>
  <externalReferences>
    <externalReference r:id="rId9"/>
  </externalReferences>
  <definedNames>
    <definedName name="_xlnm._FilterDatabase" localSheetId="6" hidden="1">Commodities!$B$2:$E$52</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7" l="1" a="1"/>
  <c r="H41" i="7" a="1"/>
  <c r="G41" i="7" a="1"/>
  <c r="F41" i="7" a="1"/>
  <c r="H57" i="7" a="1"/>
  <c r="G57" i="7" a="1"/>
  <c r="F57" i="7" a="1"/>
  <c r="H19" i="7" a="1"/>
  <c r="H46" i="7" a="1"/>
  <c r="G46" i="7" a="1"/>
  <c r="H56" i="7" a="1"/>
  <c r="H55" i="7" a="1"/>
  <c r="H54" i="7" a="1"/>
  <c r="H53" i="7" a="1"/>
  <c r="H52" i="7" a="1"/>
  <c r="H51" i="7" a="1"/>
  <c r="H50" i="7" a="1"/>
  <c r="H49" i="7" a="1"/>
  <c r="H48" i="7" a="1"/>
  <c r="H47" i="7" a="1"/>
  <c r="H45" i="7" a="1"/>
  <c r="H44" i="7" a="1"/>
  <c r="H43" i="7" a="1"/>
  <c r="H42" i="7" a="1"/>
  <c r="H40" i="7" a="1"/>
  <c r="H39" i="7" a="1"/>
  <c r="H38" i="7" a="1"/>
  <c r="H37" i="7" a="1"/>
  <c r="H36" i="7" a="1"/>
  <c r="H35" i="7" a="1"/>
  <c r="H34" i="7" a="1"/>
  <c r="H33" i="7" a="1"/>
  <c r="H32" i="7" a="1"/>
  <c r="H31" i="7" a="1"/>
  <c r="H30" i="7" a="1"/>
  <c r="H29" i="7" a="1"/>
  <c r="H28" i="7" a="1"/>
  <c r="H27" i="7" a="1"/>
  <c r="H26" i="7" a="1"/>
  <c r="H25" i="7" a="1"/>
  <c r="H24" i="7" a="1"/>
  <c r="H23" i="7" a="1"/>
  <c r="H22" i="7" a="1"/>
  <c r="H21" i="7" a="1"/>
  <c r="H20" i="7" a="1"/>
  <c r="H18" i="7" a="1"/>
  <c r="H17" i="7" a="1"/>
  <c r="H16" i="7" a="1"/>
  <c r="H15" i="7" a="1"/>
  <c r="H14" i="7" a="1"/>
  <c r="H13" i="7" a="1"/>
  <c r="H12" i="7" a="1"/>
  <c r="H11" i="7" a="1"/>
  <c r="H10" i="7" a="1"/>
  <c r="H9" i="7" a="1"/>
  <c r="H8" i="7" a="1"/>
  <c r="H7" i="7" a="1"/>
  <c r="H6" i="7" a="1"/>
  <c r="H5" i="7" a="1"/>
  <c r="H4" i="7" a="1"/>
  <c r="H3" i="7" a="1"/>
  <c r="G3" i="7" a="1"/>
  <c r="G19" i="7" a="1"/>
  <c r="G56" i="7" a="1"/>
  <c r="G55" i="7" a="1"/>
  <c r="G54" i="7" a="1"/>
  <c r="G53" i="7" a="1"/>
  <c r="G52" i="7" a="1"/>
  <c r="G51" i="7" a="1"/>
  <c r="G50" i="7" a="1"/>
  <c r="G49" i="7" a="1"/>
  <c r="G48" i="7" a="1"/>
  <c r="G47" i="7" a="1"/>
  <c r="G45" i="7" a="1"/>
  <c r="G44" i="7" a="1"/>
  <c r="G43" i="7" a="1"/>
  <c r="G42" i="7" a="1"/>
  <c r="G40" i="7" a="1"/>
  <c r="G39" i="7" a="1"/>
  <c r="G38" i="7" a="1"/>
  <c r="G37" i="7" a="1"/>
  <c r="G36" i="7" a="1"/>
  <c r="G35" i="7" a="1"/>
  <c r="G34" i="7" a="1"/>
  <c r="G33" i="7" a="1"/>
  <c r="G32" i="7" a="1"/>
  <c r="G31" i="7" a="1"/>
  <c r="G30" i="7" a="1"/>
  <c r="G29" i="7" a="1"/>
  <c r="G28" i="7" a="1"/>
  <c r="G27" i="7" a="1"/>
  <c r="G26" i="7" a="1"/>
  <c r="G25" i="7" a="1"/>
  <c r="G24" i="7" a="1"/>
  <c r="G23" i="7" a="1"/>
  <c r="G22" i="7" a="1"/>
  <c r="G21" i="7" a="1"/>
  <c r="G20" i="7" a="1"/>
  <c r="G18" i="7" a="1"/>
  <c r="G17" i="7" a="1"/>
  <c r="G16" i="7" a="1"/>
  <c r="G15" i="7" a="1"/>
  <c r="G14" i="7" a="1"/>
  <c r="G13" i="7" a="1"/>
  <c r="G12" i="7" a="1"/>
  <c r="G11" i="7" a="1"/>
  <c r="G10" i="7" a="1"/>
  <c r="G9" i="7" a="1"/>
  <c r="G8" i="7" a="1"/>
  <c r="G7" i="7" a="1"/>
  <c r="G6" i="7" a="1"/>
  <c r="G5" i="7" a="1"/>
  <c r="G4" i="7" a="1"/>
  <c r="F18" i="7" a="1"/>
  <c r="F9" i="9" a="1"/>
  <c r="F56" i="9" l="1" a="1"/>
  <c r="F55" i="9" a="1"/>
  <c r="F54" i="9" a="1"/>
  <c r="F53" i="9" a="1"/>
  <c r="F52" i="9" a="1"/>
  <c r="F51" i="9" a="1"/>
  <c r="F50" i="9" a="1"/>
  <c r="F49" i="9" a="1"/>
  <c r="F46" i="9" a="1"/>
  <c r="F45" i="9" a="1"/>
  <c r="F44" i="9" a="1"/>
  <c r="F43" i="9" a="1"/>
  <c r="F42" i="9" a="1"/>
  <c r="F41" i="9" a="1"/>
  <c r="F40" i="9" a="1"/>
  <c r="F39" i="9" a="1"/>
  <c r="F38" i="9" a="1"/>
  <c r="F37" i="9" a="1"/>
  <c r="F36" i="9" a="1"/>
  <c r="F33" i="9" a="1"/>
  <c r="F32" i="9" a="1"/>
  <c r="F31" i="9" a="1"/>
  <c r="F30" i="9" a="1"/>
  <c r="F29" i="9" a="1"/>
  <c r="F28" i="9" a="1"/>
  <c r="F27" i="9" a="1"/>
  <c r="F26" i="9" a="1"/>
  <c r="F25" i="9" a="1"/>
  <c r="F22" i="9" a="1"/>
  <c r="F21" i="9" a="1"/>
  <c r="F20" i="9" a="1"/>
  <c r="F19" i="9" a="1"/>
  <c r="F18" i="9" a="1"/>
  <c r="F6" i="9" a="1"/>
  <c r="F7" i="9" a="1"/>
  <c r="F8" i="9" a="1"/>
  <c r="F10" i="9" a="1"/>
  <c r="F11" i="9" a="1"/>
  <c r="F12" i="9" a="1"/>
  <c r="F13" i="9" a="1"/>
  <c r="F14" i="9" a="1"/>
  <c r="F15" i="9" a="1"/>
  <c r="F5" i="9" a="1"/>
  <c r="E49" i="9" a="1"/>
  <c r="E50" i="9" a="1"/>
  <c r="E51" i="9" a="1"/>
  <c r="E52" i="9" a="1"/>
  <c r="E53" i="9" a="1"/>
  <c r="E54" i="9" a="1"/>
  <c r="E55" i="9" a="1"/>
  <c r="E56" i="9" a="1"/>
  <c r="E36" i="9" a="1"/>
  <c r="E37" i="9" a="1"/>
  <c r="E38" i="9" a="1"/>
  <c r="E39" i="9" a="1"/>
  <c r="E40" i="9" a="1"/>
  <c r="E41" i="9" a="1"/>
  <c r="E42" i="9" a="1"/>
  <c r="E43" i="9" a="1"/>
  <c r="E44" i="9" a="1"/>
  <c r="E45" i="9" a="1"/>
  <c r="E46" i="9" a="1"/>
  <c r="E25" i="9" a="1"/>
  <c r="E26" i="9" a="1"/>
  <c r="E27" i="9" a="1"/>
  <c r="E28" i="9" a="1"/>
  <c r="E30" i="9" a="1"/>
  <c r="E31" i="9" a="1"/>
  <c r="E32" i="9" a="1"/>
  <c r="E33" i="9" a="1"/>
  <c r="E18" i="9" a="1"/>
  <c r="E19" i="9" a="1"/>
  <c r="E20" i="9" a="1"/>
  <c r="E21" i="9" a="1"/>
  <c r="E22" i="9" a="1"/>
  <c r="E5" i="9" a="1"/>
  <c r="E6" i="9" a="1"/>
  <c r="E7" i="9" a="1"/>
  <c r="E8" i="9" a="1"/>
  <c r="E9" i="9" a="1"/>
  <c r="E10" i="9" a="1"/>
  <c r="E11" i="9" a="1"/>
  <c r="E12" i="9" a="1"/>
  <c r="E13" i="9" a="1"/>
  <c r="E14" i="9" a="1"/>
  <c r="E15" i="9" a="1"/>
  <c r="M29" i="9"/>
  <c r="E29" i="9" s="1" a="1"/>
  <c r="F56" i="7" a="1"/>
  <c r="F55" i="7" a="1"/>
  <c r="F54" i="7" a="1"/>
  <c r="F53" i="7" a="1"/>
  <c r="F52" i="7" a="1"/>
  <c r="F51" i="7" a="1"/>
  <c r="F50" i="7" a="1"/>
  <c r="F49" i="7" a="1"/>
  <c r="F48" i="7" a="1"/>
  <c r="F47" i="7" a="1"/>
  <c r="F46" i="7" a="1"/>
  <c r="F45" i="7" a="1"/>
  <c r="F44" i="7" a="1"/>
  <c r="F43" i="7" a="1"/>
  <c r="F42" i="7" a="1"/>
  <c r="F40" i="7" a="1"/>
  <c r="F39" i="7" a="1"/>
  <c r="F38" i="7" a="1"/>
  <c r="F37" i="7" a="1"/>
  <c r="F36" i="7" a="1"/>
  <c r="F35" i="7" a="1"/>
  <c r="F34" i="7" a="1"/>
  <c r="F33" i="7" a="1"/>
  <c r="F32" i="7" a="1"/>
  <c r="F31" i="7" a="1"/>
  <c r="F30" i="7" a="1"/>
  <c r="F29" i="7" a="1"/>
  <c r="F28" i="7" a="1"/>
  <c r="F27" i="7" a="1"/>
  <c r="F26" i="7" a="1"/>
  <c r="F25" i="7" a="1"/>
  <c r="F24" i="7" a="1"/>
  <c r="F23" i="7" a="1"/>
  <c r="F22" i="7" a="1"/>
  <c r="F21" i="7" a="1"/>
  <c r="F20" i="7" a="1"/>
  <c r="F17" i="7" a="1"/>
  <c r="F16" i="7" a="1"/>
  <c r="F15" i="7" a="1"/>
  <c r="F14" i="7" a="1"/>
  <c r="F13" i="7" a="1"/>
  <c r="F12" i="7" a="1"/>
  <c r="F11" i="7" a="1"/>
  <c r="F10" i="7" a="1"/>
  <c r="F9" i="7" a="1"/>
  <c r="F8" i="7" a="1"/>
  <c r="F7" i="7" a="1"/>
  <c r="F6" i="7" a="1"/>
  <c r="F5" i="7" a="1"/>
  <c r="F4" i="7" a="1"/>
  <c r="F3" i="7" a="1"/>
  <c r="K10" i="9" a="1"/>
  <c r="J44" i="9" a="1"/>
  <c r="G7" i="9" a="1"/>
  <c r="J33" i="9" a="1"/>
  <c r="I5" i="9" a="1"/>
  <c r="H27" i="9" a="1"/>
  <c r="H13" i="9" a="1"/>
  <c r="G51" i="9" a="1"/>
  <c r="J38" i="9" a="1"/>
  <c r="G43" i="9" a="1"/>
  <c r="G41" i="9" a="1"/>
  <c r="J39" i="9" a="1"/>
  <c r="J7" i="9" a="1"/>
  <c r="H8" i="9" a="1"/>
  <c r="K33" i="9" a="1"/>
  <c r="H30" i="9" a="1"/>
  <c r="G45" i="9" a="1"/>
  <c r="K54" i="9" a="1"/>
  <c r="H9" i="9" a="1"/>
  <c r="I31" i="9" a="1"/>
  <c r="J8" i="9" a="1"/>
  <c r="K31" i="9" a="1"/>
  <c r="G53" i="9" a="1"/>
  <c r="I12" i="9" a="1"/>
  <c r="H44" i="9" a="1"/>
  <c r="I19" i="9" a="1"/>
  <c r="I28" i="9" a="1"/>
  <c r="K18" i="9" a="1"/>
  <c r="H6" i="9" a="1"/>
  <c r="G15" i="9" a="1"/>
  <c r="I6" i="9" a="1"/>
  <c r="K49" i="9" a="1"/>
  <c r="K12" i="9" a="1"/>
  <c r="H55" i="9" a="1"/>
  <c r="I38" i="9" a="1"/>
  <c r="I25" i="9" a="1"/>
  <c r="G37" i="9" a="1"/>
  <c r="G39" i="9" a="1"/>
  <c r="I22" i="9" a="1"/>
  <c r="K32" i="9" a="1"/>
  <c r="I18" i="9" a="1"/>
  <c r="G42" i="9" a="1"/>
  <c r="H28" i="9" a="1"/>
  <c r="G32" i="9" a="1"/>
  <c r="I11" i="9" a="1"/>
  <c r="G46" i="9" a="1"/>
  <c r="H52" i="9" a="1"/>
  <c r="H18" i="9" a="1"/>
  <c r="K22" i="9" a="1"/>
  <c r="K36" i="9" a="1"/>
  <c r="I20" i="9" a="1"/>
  <c r="J13" i="9" a="1"/>
  <c r="G54" i="9" a="1"/>
  <c r="J5" i="9" a="1"/>
  <c r="J11" i="9" a="1"/>
  <c r="I10" i="9" a="1"/>
  <c r="G25" i="9" a="1"/>
  <c r="G52" i="9" a="1"/>
  <c r="J56" i="9" a="1"/>
  <c r="J19" i="9" a="1"/>
  <c r="K19" i="9" a="1"/>
  <c r="I27" i="9" a="1"/>
  <c r="I13" i="9" a="1"/>
  <c r="H11" i="9" a="1"/>
  <c r="K15" i="9" a="1"/>
  <c r="J51" i="9" a="1"/>
  <c r="J50" i="9" a="1"/>
  <c r="H22" i="9" a="1"/>
  <c r="K5" i="9" a="1"/>
  <c r="G36" i="9" a="1"/>
  <c r="H26" i="9" a="1"/>
  <c r="K7" i="9" a="1"/>
  <c r="I7" i="9" a="1"/>
  <c r="H43" i="9" a="1"/>
  <c r="G8" i="9" a="1"/>
  <c r="G50" i="9" a="1"/>
  <c r="I52" i="9" a="1"/>
  <c r="H38" i="9" a="1"/>
  <c r="J30" i="9" a="1"/>
  <c r="H45" i="9" a="1"/>
  <c r="I9" i="9" a="1"/>
  <c r="I33" i="9" a="1"/>
  <c r="K13" i="9" a="1"/>
  <c r="I37" i="9" a="1"/>
  <c r="K43" i="9" a="1"/>
  <c r="K40" i="9" a="1"/>
  <c r="K42" i="9" a="1"/>
  <c r="K38" i="9" a="1"/>
  <c r="H42" i="9" a="1"/>
  <c r="G27" i="9" a="1"/>
  <c r="I56" i="9" a="1"/>
  <c r="H36" i="9" a="1"/>
  <c r="J10" i="9" a="1"/>
  <c r="H39" i="9" a="1"/>
  <c r="I30" i="9" a="1"/>
  <c r="I36" i="9" a="1"/>
  <c r="G28" i="9" a="1"/>
  <c r="K55" i="9" a="1"/>
  <c r="J21" i="9" a="1"/>
  <c r="H49" i="9" a="1"/>
  <c r="I54" i="9" a="1"/>
  <c r="J40" i="9" a="1"/>
  <c r="J54" i="9" a="1"/>
  <c r="K52" i="9" a="1"/>
  <c r="K21" i="9" a="1"/>
  <c r="H32" i="9" a="1"/>
  <c r="J45" i="9" a="1"/>
  <c r="I21" i="9" a="1"/>
  <c r="I44" i="9" a="1"/>
  <c r="J53" i="9" a="1"/>
  <c r="K45" i="9" a="1"/>
  <c r="J18" i="9" a="1"/>
  <c r="G49" i="9" a="1"/>
  <c r="I53" i="9" a="1"/>
  <c r="H53" i="9" a="1"/>
  <c r="I49" i="9" a="1"/>
  <c r="J14" i="9" a="1"/>
  <c r="G21" i="9" a="1"/>
  <c r="H40" i="9" a="1"/>
  <c r="H15" i="9" a="1"/>
  <c r="I50" i="9" a="1"/>
  <c r="J43" i="9" a="1"/>
  <c r="G14" i="9" a="1"/>
  <c r="J22" i="9" a="1"/>
  <c r="G31" i="9" a="1"/>
  <c r="J46" i="9" a="1"/>
  <c r="J42" i="9" a="1"/>
  <c r="H46" i="9" a="1"/>
  <c r="I45" i="9" a="1"/>
  <c r="J36" i="9" a="1"/>
  <c r="K46" i="9" a="1"/>
  <c r="G11" i="9" a="1"/>
  <c r="K11" i="9" a="1"/>
  <c r="I8" i="9" a="1"/>
  <c r="H14" i="9" a="1"/>
  <c r="I15" i="9" a="1"/>
  <c r="G20" i="9" a="1"/>
  <c r="G30" i="9" a="1"/>
  <c r="J52" i="9" a="1"/>
  <c r="K14" i="9" a="1"/>
  <c r="K37" i="9" a="1"/>
  <c r="K28" i="9" a="1"/>
  <c r="I26" i="9" a="1"/>
  <c r="J6" i="9" a="1"/>
  <c r="H10" i="9" a="1"/>
  <c r="G19" i="9" a="1"/>
  <c r="K51" i="9" a="1"/>
  <c r="K39" i="9" a="1"/>
  <c r="H50" i="9" a="1"/>
  <c r="I42" i="9" a="1"/>
  <c r="J9" i="9" a="1"/>
  <c r="H20" i="9" a="1"/>
  <c r="H19" i="9" a="1"/>
  <c r="G12" i="9" a="1"/>
  <c r="J28" i="9" a="1"/>
  <c r="J20" i="9" a="1"/>
  <c r="G18" i="9" a="1"/>
  <c r="H7" i="9" a="1"/>
  <c r="J55" i="9" a="1"/>
  <c r="K50" i="9" a="1"/>
  <c r="G44" i="9" a="1"/>
  <c r="K30" i="9" a="1"/>
  <c r="G6" i="9" a="1"/>
  <c r="J15" i="9" a="1"/>
  <c r="H54" i="9" a="1"/>
  <c r="K44" i="9" a="1"/>
  <c r="H37" i="9" a="1"/>
  <c r="K41" i="9" a="1"/>
  <c r="K27" i="9" a="1"/>
  <c r="H5" i="9" a="1"/>
  <c r="H51" i="9" a="1"/>
  <c r="G33" i="9" a="1"/>
  <c r="G9" i="9" a="1"/>
  <c r="I39" i="9" a="1"/>
  <c r="I41" i="9" a="1"/>
  <c r="J41" i="9" a="1"/>
  <c r="H31" i="9" a="1"/>
  <c r="I14" i="9" a="1"/>
  <c r="H33" i="9" a="1"/>
  <c r="K6" i="9" a="1"/>
  <c r="G5" i="9" a="1"/>
  <c r="I43" i="9" a="1"/>
  <c r="I55" i="9" a="1"/>
  <c r="G13" i="9" a="1"/>
  <c r="K9" i="9" a="1"/>
  <c r="H21" i="9" a="1"/>
  <c r="J25" i="9" a="1"/>
  <c r="J31" i="9" a="1"/>
  <c r="H25" i="9" a="1"/>
  <c r="J27" i="9" a="1"/>
  <c r="K53" i="9" a="1"/>
  <c r="I32" i="9" a="1"/>
  <c r="G38" i="9" a="1"/>
  <c r="G26" i="9" a="1"/>
  <c r="G55" i="9" a="1"/>
  <c r="J26" i="9" a="1"/>
  <c r="H56" i="9" a="1"/>
  <c r="H12" i="9" a="1"/>
  <c r="G22" i="9" a="1"/>
  <c r="G10" i="9" a="1"/>
  <c r="K56" i="9" a="1"/>
  <c r="H41" i="9" a="1"/>
  <c r="G56" i="9" a="1"/>
  <c r="J37" i="9" a="1"/>
  <c r="J32" i="9" a="1"/>
  <c r="G40" i="9" a="1"/>
  <c r="K8" i="9" a="1"/>
  <c r="J49" i="9" a="1"/>
  <c r="K20" i="9" a="1"/>
  <c r="J12" i="9" a="1"/>
  <c r="I51" i="9" a="1"/>
  <c r="K26" i="9" a="1"/>
  <c r="I46" i="9" a="1"/>
  <c r="K25" i="9" a="1"/>
  <c r="I40" i="9" a="1"/>
  <c r="N3" i="6"/>
  <c r="N4" i="6"/>
  <c r="N5" i="6"/>
  <c r="N6" i="6"/>
  <c r="B7" i="6"/>
  <c r="C7" i="6"/>
  <c r="D7" i="6"/>
  <c r="E7" i="6"/>
  <c r="F7" i="6"/>
  <c r="G7" i="6"/>
  <c r="H7" i="6"/>
  <c r="I7" i="6"/>
  <c r="J7" i="6"/>
  <c r="K7" i="6"/>
  <c r="L7" i="6"/>
  <c r="M7" i="6"/>
  <c r="N10" i="6"/>
  <c r="N11" i="6"/>
  <c r="N12" i="6"/>
  <c r="N13" i="6"/>
  <c r="N14" i="6"/>
  <c r="N15" i="6"/>
  <c r="N16" i="6"/>
  <c r="N17" i="6"/>
  <c r="N18" i="6"/>
  <c r="N19" i="6"/>
  <c r="N20" i="6"/>
  <c r="B22" i="6"/>
  <c r="C22" i="6"/>
  <c r="D22" i="6"/>
  <c r="E22" i="6"/>
  <c r="F22" i="6"/>
  <c r="G22" i="6"/>
  <c r="H22" i="6"/>
  <c r="I22" i="6"/>
  <c r="J22" i="6"/>
  <c r="K22" i="6"/>
  <c r="L22" i="6"/>
  <c r="M22" i="6"/>
  <c r="N25" i="6"/>
  <c r="N26" i="6"/>
  <c r="N27" i="6"/>
  <c r="N28" i="6"/>
  <c r="N29" i="6"/>
  <c r="N30" i="6"/>
  <c r="N31" i="6"/>
  <c r="B32" i="6"/>
  <c r="C32" i="6"/>
  <c r="D32" i="6"/>
  <c r="E32" i="6"/>
  <c r="F32" i="6"/>
  <c r="G32" i="6"/>
  <c r="H32" i="6"/>
  <c r="I32" i="6"/>
  <c r="J32" i="6"/>
  <c r="K32" i="6"/>
  <c r="L32" i="6"/>
  <c r="M32" i="6"/>
  <c r="N7" i="6" l="1"/>
  <c r="N32" i="6"/>
  <c r="N22" i="6"/>
  <c r="H57" i="7"/>
  <c r="G57" i="7"/>
  <c r="F57" i="7"/>
  <c r="H56" i="7"/>
  <c r="G56" i="7"/>
  <c r="F56" i="7"/>
  <c r="H55" i="7"/>
  <c r="G55" i="7"/>
  <c r="F55" i="7"/>
  <c r="H54" i="7"/>
  <c r="G54" i="7"/>
  <c r="F54" i="7"/>
  <c r="H53" i="7"/>
  <c r="G53" i="7"/>
  <c r="F53" i="7"/>
  <c r="H52" i="7"/>
  <c r="G52" i="7"/>
  <c r="F52" i="7"/>
  <c r="H51" i="7"/>
  <c r="G51" i="7"/>
  <c r="F51" i="7"/>
  <c r="H50" i="7"/>
  <c r="G50" i="7"/>
  <c r="F50" i="7"/>
  <c r="H49" i="7"/>
  <c r="G49" i="7"/>
  <c r="F49" i="7"/>
  <c r="H48" i="7"/>
  <c r="G48" i="7"/>
  <c r="F48" i="7"/>
  <c r="H47" i="7"/>
  <c r="G47" i="7"/>
  <c r="F47" i="7"/>
  <c r="H46" i="7"/>
  <c r="G46" i="7"/>
  <c r="F46" i="7"/>
  <c r="H45" i="7"/>
  <c r="G45" i="7"/>
  <c r="F45" i="7"/>
  <c r="H44" i="7"/>
  <c r="G44" i="7"/>
  <c r="F44" i="7"/>
  <c r="H43" i="7"/>
  <c r="G43" i="7"/>
  <c r="F43" i="7"/>
  <c r="H42" i="7"/>
  <c r="G42" i="7"/>
  <c r="F42" i="7"/>
  <c r="H41" i="7"/>
  <c r="G41" i="7"/>
  <c r="F41" i="7"/>
  <c r="H40" i="7"/>
  <c r="G40" i="7"/>
  <c r="F40" i="7"/>
  <c r="H39" i="7"/>
  <c r="G39" i="7"/>
  <c r="F39" i="7"/>
  <c r="H38" i="7"/>
  <c r="G38" i="7"/>
  <c r="F38" i="7"/>
  <c r="H37" i="7"/>
  <c r="G37" i="7"/>
  <c r="F37" i="7"/>
  <c r="H36" i="7"/>
  <c r="G36" i="7"/>
  <c r="F36" i="7"/>
  <c r="H35" i="7"/>
  <c r="G35" i="7"/>
  <c r="F35" i="7"/>
  <c r="H34" i="7"/>
  <c r="G34" i="7"/>
  <c r="F34" i="7"/>
  <c r="H33" i="7"/>
  <c r="G33" i="7"/>
  <c r="F33" i="7"/>
  <c r="H32" i="7"/>
  <c r="G32" i="7"/>
  <c r="F32" i="7"/>
  <c r="H31" i="7"/>
  <c r="G31" i="7"/>
  <c r="F31" i="7"/>
  <c r="H30" i="7"/>
  <c r="G30" i="7"/>
  <c r="F30" i="7"/>
  <c r="H29" i="7"/>
  <c r="G29" i="7"/>
  <c r="F29" i="7"/>
  <c r="H28" i="7"/>
  <c r="G28" i="7"/>
  <c r="F28" i="7"/>
  <c r="H27" i="7"/>
  <c r="G27" i="7"/>
  <c r="F27" i="7"/>
  <c r="H26" i="7"/>
  <c r="G26" i="7"/>
  <c r="F26" i="7"/>
  <c r="H25" i="7"/>
  <c r="G25" i="7"/>
  <c r="F25" i="7"/>
  <c r="H24" i="7"/>
  <c r="G24" i="7"/>
  <c r="F24" i="7"/>
  <c r="H23" i="7"/>
  <c r="G23" i="7"/>
  <c r="F23" i="7"/>
  <c r="H22" i="7"/>
  <c r="G22" i="7"/>
  <c r="F22" i="7"/>
  <c r="H21" i="7"/>
  <c r="G21" i="7"/>
  <c r="F21" i="7"/>
  <c r="H20" i="7"/>
  <c r="G20" i="7"/>
  <c r="F20" i="7"/>
  <c r="H19" i="7"/>
  <c r="G19" i="7"/>
  <c r="F19" i="7"/>
  <c r="H18" i="7"/>
  <c r="G18" i="7"/>
  <c r="F18" i="7"/>
  <c r="H17" i="7"/>
  <c r="G17" i="7"/>
  <c r="F17" i="7"/>
  <c r="H16" i="7"/>
  <c r="G16" i="7"/>
  <c r="F16" i="7"/>
  <c r="H15" i="7"/>
  <c r="G15" i="7"/>
  <c r="F15" i="7"/>
  <c r="H14" i="7"/>
  <c r="G14" i="7"/>
  <c r="F14" i="7"/>
  <c r="H13" i="7"/>
  <c r="G13" i="7"/>
  <c r="F13" i="7"/>
  <c r="H12" i="7"/>
  <c r="G12" i="7"/>
  <c r="F12" i="7"/>
  <c r="H11" i="7"/>
  <c r="G11" i="7"/>
  <c r="F11" i="7"/>
  <c r="H10" i="7"/>
  <c r="G10" i="7"/>
  <c r="F10" i="7"/>
  <c r="H9" i="7"/>
  <c r="G9" i="7"/>
  <c r="F9" i="7"/>
  <c r="H8" i="7"/>
  <c r="G8" i="7"/>
  <c r="F8" i="7"/>
  <c r="H7" i="7"/>
  <c r="G7" i="7"/>
  <c r="F7" i="7"/>
  <c r="H6" i="7"/>
  <c r="G6" i="7"/>
  <c r="F6" i="7"/>
  <c r="H5" i="7"/>
  <c r="G5" i="7"/>
  <c r="F5" i="7"/>
  <c r="H4" i="7"/>
  <c r="G4" i="7"/>
  <c r="F4" i="7"/>
  <c r="H3" i="7"/>
  <c r="G3" i="7"/>
  <c r="F3" i="7"/>
  <c r="K56" i="9"/>
  <c r="J56" i="9"/>
  <c r="I56" i="9"/>
  <c r="H56" i="9"/>
  <c r="G56" i="9"/>
  <c r="F56" i="9"/>
  <c r="E56" i="9"/>
  <c r="K55" i="9"/>
  <c r="J55" i="9"/>
  <c r="I55" i="9"/>
  <c r="H55" i="9"/>
  <c r="G55" i="9"/>
  <c r="F55" i="9"/>
  <c r="E55" i="9"/>
  <c r="K54" i="9"/>
  <c r="J54" i="9"/>
  <c r="I54" i="9"/>
  <c r="H54" i="9"/>
  <c r="G54" i="9"/>
  <c r="F54" i="9"/>
  <c r="E54" i="9"/>
  <c r="K53" i="9"/>
  <c r="J53" i="9"/>
  <c r="I53" i="9"/>
  <c r="H53" i="9"/>
  <c r="G53" i="9"/>
  <c r="F53" i="9"/>
  <c r="E53" i="9"/>
  <c r="K52" i="9"/>
  <c r="J52" i="9"/>
  <c r="I52" i="9"/>
  <c r="H52" i="9"/>
  <c r="G52" i="9"/>
  <c r="F52" i="9"/>
  <c r="E52" i="9"/>
  <c r="K51" i="9"/>
  <c r="J51" i="9"/>
  <c r="I51" i="9"/>
  <c r="H51" i="9"/>
  <c r="G51" i="9"/>
  <c r="F51" i="9"/>
  <c r="E51" i="9"/>
  <c r="K50" i="9"/>
  <c r="J50" i="9"/>
  <c r="I50" i="9"/>
  <c r="H50" i="9"/>
  <c r="G50" i="9"/>
  <c r="F50" i="9"/>
  <c r="E50" i="9"/>
  <c r="K49" i="9"/>
  <c r="J49" i="9"/>
  <c r="I49" i="9"/>
  <c r="H49" i="9"/>
  <c r="G49" i="9"/>
  <c r="F49" i="9"/>
  <c r="E49" i="9"/>
  <c r="K46" i="9"/>
  <c r="J46" i="9"/>
  <c r="I46" i="9"/>
  <c r="H46" i="9"/>
  <c r="G46" i="9"/>
  <c r="F46" i="9"/>
  <c r="E46" i="9"/>
  <c r="K45" i="9"/>
  <c r="J45" i="9"/>
  <c r="I45" i="9"/>
  <c r="H45" i="9"/>
  <c r="G45" i="9"/>
  <c r="F45" i="9"/>
  <c r="E45" i="9"/>
  <c r="K44" i="9"/>
  <c r="J44" i="9"/>
  <c r="I44" i="9"/>
  <c r="H44" i="9"/>
  <c r="G44" i="9"/>
  <c r="F44" i="9"/>
  <c r="E44" i="9"/>
  <c r="K43" i="9"/>
  <c r="J43" i="9"/>
  <c r="I43" i="9"/>
  <c r="H43" i="9"/>
  <c r="G43" i="9"/>
  <c r="F43" i="9"/>
  <c r="E43" i="9"/>
  <c r="K42" i="9"/>
  <c r="J42" i="9"/>
  <c r="I42" i="9"/>
  <c r="H42" i="9"/>
  <c r="G42" i="9"/>
  <c r="F42" i="9"/>
  <c r="E42" i="9"/>
  <c r="K41" i="9"/>
  <c r="J41" i="9"/>
  <c r="I41" i="9"/>
  <c r="H41" i="9"/>
  <c r="G41" i="9"/>
  <c r="F41" i="9"/>
  <c r="E41" i="9"/>
  <c r="K40" i="9"/>
  <c r="J40" i="9"/>
  <c r="I40" i="9"/>
  <c r="H40" i="9"/>
  <c r="G40" i="9"/>
  <c r="F40" i="9"/>
  <c r="E40" i="9"/>
  <c r="K39" i="9"/>
  <c r="J39" i="9"/>
  <c r="I39" i="9"/>
  <c r="H39" i="9"/>
  <c r="G39" i="9"/>
  <c r="F39" i="9"/>
  <c r="E39" i="9"/>
  <c r="K38" i="9"/>
  <c r="J38" i="9"/>
  <c r="I38" i="9"/>
  <c r="H38" i="9"/>
  <c r="G38" i="9"/>
  <c r="F38" i="9"/>
  <c r="E38" i="9"/>
  <c r="K37" i="9"/>
  <c r="J37" i="9"/>
  <c r="I37" i="9"/>
  <c r="H37" i="9"/>
  <c r="G37" i="9"/>
  <c r="F37" i="9"/>
  <c r="E37" i="9"/>
  <c r="K36" i="9"/>
  <c r="J36" i="9"/>
  <c r="I36" i="9"/>
  <c r="H36" i="9"/>
  <c r="G36" i="9"/>
  <c r="F36" i="9"/>
  <c r="E36" i="9"/>
  <c r="K33" i="9"/>
  <c r="J33" i="9"/>
  <c r="I33" i="9"/>
  <c r="H33" i="9"/>
  <c r="G33" i="9"/>
  <c r="F33" i="9"/>
  <c r="E33" i="9"/>
  <c r="K32" i="9"/>
  <c r="J32" i="9"/>
  <c r="I32" i="9"/>
  <c r="H32" i="9"/>
  <c r="G32" i="9"/>
  <c r="F32" i="9"/>
  <c r="E32" i="9"/>
  <c r="K31" i="9"/>
  <c r="J31" i="9"/>
  <c r="I31" i="9"/>
  <c r="H31" i="9"/>
  <c r="G31" i="9"/>
  <c r="F31" i="9"/>
  <c r="E31" i="9"/>
  <c r="K30" i="9"/>
  <c r="J30" i="9"/>
  <c r="I30" i="9"/>
  <c r="H30" i="9"/>
  <c r="G30" i="9"/>
  <c r="F30" i="9"/>
  <c r="E30" i="9"/>
  <c r="F29" i="9"/>
  <c r="E29" i="9"/>
  <c r="K28" i="9"/>
  <c r="J28" i="9"/>
  <c r="I28" i="9"/>
  <c r="H28" i="9"/>
  <c r="G28" i="9"/>
  <c r="F28" i="9"/>
  <c r="E28" i="9"/>
  <c r="K27" i="9"/>
  <c r="J27" i="9"/>
  <c r="I27" i="9"/>
  <c r="H27" i="9"/>
  <c r="G27" i="9"/>
  <c r="F27" i="9"/>
  <c r="E27" i="9"/>
  <c r="K26" i="9"/>
  <c r="J26" i="9"/>
  <c r="I26" i="9"/>
  <c r="H26" i="9"/>
  <c r="G26" i="9"/>
  <c r="F26" i="9"/>
  <c r="E26" i="9"/>
  <c r="K25" i="9"/>
  <c r="J25" i="9"/>
  <c r="I25" i="9"/>
  <c r="H25" i="9"/>
  <c r="G25" i="9"/>
  <c r="F25" i="9"/>
  <c r="E25" i="9"/>
  <c r="K22" i="9"/>
  <c r="J22" i="9"/>
  <c r="I22" i="9"/>
  <c r="H22" i="9"/>
  <c r="G22" i="9"/>
  <c r="F22" i="9"/>
  <c r="E22" i="9"/>
  <c r="K21" i="9"/>
  <c r="J21" i="9"/>
  <c r="I21" i="9"/>
  <c r="H21" i="9"/>
  <c r="G21" i="9"/>
  <c r="F21" i="9"/>
  <c r="E21" i="9"/>
  <c r="K20" i="9"/>
  <c r="J20" i="9"/>
  <c r="I20" i="9"/>
  <c r="H20" i="9"/>
  <c r="G20" i="9"/>
  <c r="F20" i="9"/>
  <c r="E20" i="9"/>
  <c r="K19" i="9"/>
  <c r="J19" i="9"/>
  <c r="I19" i="9"/>
  <c r="H19" i="9"/>
  <c r="G19" i="9"/>
  <c r="F19" i="9"/>
  <c r="E19" i="9"/>
  <c r="K18" i="9"/>
  <c r="J18" i="9"/>
  <c r="I18" i="9"/>
  <c r="H18" i="9"/>
  <c r="G18" i="9"/>
  <c r="F18" i="9"/>
  <c r="E18" i="9"/>
  <c r="K15" i="9"/>
  <c r="J15" i="9"/>
  <c r="I15" i="9"/>
  <c r="H15" i="9"/>
  <c r="G15" i="9"/>
  <c r="F15" i="9"/>
  <c r="E15" i="9"/>
  <c r="K14" i="9"/>
  <c r="J14" i="9"/>
  <c r="I14" i="9"/>
  <c r="H14" i="9"/>
  <c r="G14" i="9"/>
  <c r="F14" i="9"/>
  <c r="E14" i="9"/>
  <c r="K13" i="9"/>
  <c r="J13" i="9"/>
  <c r="I13" i="9"/>
  <c r="H13" i="9"/>
  <c r="G13" i="9"/>
  <c r="F13" i="9"/>
  <c r="E13" i="9"/>
  <c r="K12" i="9"/>
  <c r="J12" i="9"/>
  <c r="I12" i="9"/>
  <c r="H12" i="9"/>
  <c r="G12" i="9"/>
  <c r="F12" i="9"/>
  <c r="E12" i="9"/>
  <c r="K11" i="9"/>
  <c r="J11" i="9"/>
  <c r="I11" i="9"/>
  <c r="H11" i="9"/>
  <c r="G11" i="9"/>
  <c r="F11" i="9"/>
  <c r="E11" i="9"/>
  <c r="K10" i="9"/>
  <c r="J10" i="9"/>
  <c r="I10" i="9"/>
  <c r="H10" i="9"/>
  <c r="G10" i="9"/>
  <c r="F10" i="9"/>
  <c r="E10" i="9"/>
  <c r="K9" i="9"/>
  <c r="J9" i="9"/>
  <c r="I9" i="9"/>
  <c r="H9" i="9"/>
  <c r="G9" i="9"/>
  <c r="F9" i="9"/>
  <c r="E9" i="9"/>
  <c r="K8" i="9"/>
  <c r="J8" i="9"/>
  <c r="I8" i="9"/>
  <c r="H8" i="9"/>
  <c r="G8" i="9"/>
  <c r="F8" i="9"/>
  <c r="E8" i="9"/>
  <c r="K7" i="9"/>
  <c r="J7" i="9"/>
  <c r="I7" i="9"/>
  <c r="H7" i="9"/>
  <c r="G7" i="9"/>
  <c r="F7" i="9"/>
  <c r="E7" i="9"/>
  <c r="K6" i="9"/>
  <c r="J6" i="9"/>
  <c r="I6" i="9"/>
  <c r="H6" i="9"/>
  <c r="G6" i="9"/>
  <c r="F6" i="9"/>
  <c r="E6" i="9"/>
  <c r="K5" i="9"/>
  <c r="J5" i="9"/>
  <c r="I5" i="9"/>
  <c r="H5" i="9"/>
  <c r="G5" i="9"/>
  <c r="F5" i="9"/>
  <c r="E5" i="9"/>
  <c r="K29" i="9" l="1"/>
  <c r="J29" i="9"/>
  <c r="I29" i="9"/>
  <c r="H29" i="9"/>
  <c r="G29"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13">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4"/>
        </ext>
      </extLst>
    </bk>
    <bk>
      <extLst>
        <ext uri="{3e2802c4-a4d2-4d8b-9148-e3be6c30e623}">
          <xlrd:rvb i="137"/>
        </ext>
      </extLst>
    </bk>
    <bk>
      <extLst>
        <ext uri="{3e2802c4-a4d2-4d8b-9148-e3be6c30e623}">
          <xlrd:rvb i="140"/>
        </ext>
      </extLst>
    </bk>
    <bk>
      <extLst>
        <ext uri="{3e2802c4-a4d2-4d8b-9148-e3be6c30e623}">
          <xlrd:rvb i="143"/>
        </ext>
      </extLst>
    </bk>
    <bk>
      <extLst>
        <ext uri="{3e2802c4-a4d2-4d8b-9148-e3be6c30e623}">
          <xlrd:rvb i="146"/>
        </ext>
      </extLst>
    </bk>
    <bk>
      <extLst>
        <ext uri="{3e2802c4-a4d2-4d8b-9148-e3be6c30e623}">
          <xlrd:rvb i="149"/>
        </ext>
      </extLst>
    </bk>
    <bk>
      <extLst>
        <ext uri="{3e2802c4-a4d2-4d8b-9148-e3be6c30e623}">
          <xlrd:rvb i="152"/>
        </ext>
      </extLst>
    </bk>
    <bk>
      <extLst>
        <ext uri="{3e2802c4-a4d2-4d8b-9148-e3be6c30e623}">
          <xlrd:rvb i="155"/>
        </ext>
      </extLst>
    </bk>
    <bk>
      <extLst>
        <ext uri="{3e2802c4-a4d2-4d8b-9148-e3be6c30e623}">
          <xlrd:rvb i="158"/>
        </ext>
      </extLst>
    </bk>
    <bk>
      <extLst>
        <ext uri="{3e2802c4-a4d2-4d8b-9148-e3be6c30e623}">
          <xlrd:rvb i="161"/>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5"/>
        </ext>
      </extLst>
    </bk>
    <bk>
      <extLst>
        <ext uri="{3e2802c4-a4d2-4d8b-9148-e3be6c30e623}">
          <xlrd:rvb i="178"/>
        </ext>
      </extLst>
    </bk>
    <bk>
      <extLst>
        <ext uri="{3e2802c4-a4d2-4d8b-9148-e3be6c30e623}">
          <xlrd:rvb i="181"/>
        </ext>
      </extLst>
    </bk>
    <bk>
      <extLst>
        <ext uri="{3e2802c4-a4d2-4d8b-9148-e3be6c30e623}">
          <xlrd:rvb i="184"/>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6"/>
        </ext>
      </extLst>
    </bk>
    <bk>
      <extLst>
        <ext uri="{3e2802c4-a4d2-4d8b-9148-e3be6c30e623}">
          <xlrd:rvb i="209"/>
        </ext>
      </extLst>
    </bk>
    <bk>
      <extLst>
        <ext uri="{3e2802c4-a4d2-4d8b-9148-e3be6c30e623}">
          <xlrd:rvb i="212"/>
        </ext>
      </extLst>
    </bk>
    <bk>
      <extLst>
        <ext uri="{3e2802c4-a4d2-4d8b-9148-e3be6c30e623}">
          <xlrd:rvb i="215"/>
        </ext>
      </extLst>
    </bk>
    <bk>
      <extLst>
        <ext uri="{3e2802c4-a4d2-4d8b-9148-e3be6c30e623}">
          <xlrd:rvb i="217"/>
        </ext>
      </extLst>
    </bk>
    <bk>
      <extLst>
        <ext uri="{3e2802c4-a4d2-4d8b-9148-e3be6c30e623}">
          <xlrd:rvb i="219"/>
        </ext>
      </extLst>
    </bk>
    <bk>
      <extLst>
        <ext uri="{3e2802c4-a4d2-4d8b-9148-e3be6c30e623}">
          <xlrd:rvb i="222"/>
        </ext>
      </extLst>
    </bk>
    <bk>
      <extLst>
        <ext uri="{3e2802c4-a4d2-4d8b-9148-e3be6c30e623}">
          <xlrd:rvb i="225"/>
        </ext>
      </extLst>
    </bk>
    <bk>
      <extLst>
        <ext uri="{3e2802c4-a4d2-4d8b-9148-e3be6c30e623}">
          <xlrd:rvb i="228"/>
        </ext>
      </extLst>
    </bk>
    <bk>
      <extLst>
        <ext uri="{3e2802c4-a4d2-4d8b-9148-e3be6c30e623}">
          <xlrd:rvb i="230"/>
        </ext>
      </extLst>
    </bk>
    <bk>
      <extLst>
        <ext uri="{3e2802c4-a4d2-4d8b-9148-e3be6c30e623}">
          <xlrd:rvb i="232"/>
        </ext>
      </extLst>
    </bk>
    <bk>
      <extLst>
        <ext uri="{3e2802c4-a4d2-4d8b-9148-e3be6c30e623}">
          <xlrd:rvb i="235"/>
        </ext>
      </extLst>
    </bk>
    <bk>
      <extLst>
        <ext uri="{3e2802c4-a4d2-4d8b-9148-e3be6c30e623}">
          <xlrd:rvb i="238"/>
        </ext>
      </extLst>
    </bk>
    <bk>
      <extLst>
        <ext uri="{3e2802c4-a4d2-4d8b-9148-e3be6c30e623}">
          <xlrd:rvb i="241"/>
        </ext>
      </extLst>
    </bk>
    <bk>
      <extLst>
        <ext uri="{3e2802c4-a4d2-4d8b-9148-e3be6c30e623}">
          <xlrd:rvb i="244"/>
        </ext>
      </extLst>
    </bk>
    <bk>
      <extLst>
        <ext uri="{3e2802c4-a4d2-4d8b-9148-e3be6c30e623}">
          <xlrd:rvb i="247"/>
        </ext>
      </extLst>
    </bk>
    <bk>
      <extLst>
        <ext uri="{3e2802c4-a4d2-4d8b-9148-e3be6c30e623}">
          <xlrd:rvb i="250"/>
        </ext>
      </extLst>
    </bk>
    <bk>
      <extLst>
        <ext uri="{3e2802c4-a4d2-4d8b-9148-e3be6c30e623}">
          <xlrd:rvb i="253"/>
        </ext>
      </extLst>
    </bk>
    <bk>
      <extLst>
        <ext uri="{3e2802c4-a4d2-4d8b-9148-e3be6c30e623}">
          <xlrd:rvb i="256"/>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6"/>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7"/>
        </ext>
      </extLst>
    </bk>
    <bk>
      <extLst>
        <ext uri="{3e2802c4-a4d2-4d8b-9148-e3be6c30e623}">
          <xlrd:rvb i="320"/>
        </ext>
      </extLst>
    </bk>
    <bk>
      <extLst>
        <ext uri="{3e2802c4-a4d2-4d8b-9148-e3be6c30e623}">
          <xlrd:rvb i="323"/>
        </ext>
      </extLst>
    </bk>
    <bk>
      <extLst>
        <ext uri="{3e2802c4-a4d2-4d8b-9148-e3be6c30e623}">
          <xlrd:rvb i="326"/>
        </ext>
      </extLst>
    </bk>
    <bk>
      <extLst>
        <ext uri="{3e2802c4-a4d2-4d8b-9148-e3be6c30e623}">
          <xlrd:rvb i="328"/>
        </ext>
      </extLst>
    </bk>
  </futureMetadata>
  <futureMetadata name="XLDAPR" count="1">
    <bk>
      <extLst>
        <ext uri="{bdbb8cdc-fa1e-496e-a857-3c3f30c029c3}">
          <xda:dynamicArrayProperties fDynamic="1" fCollapsed="0"/>
        </ext>
      </extLst>
    </bk>
  </futureMetadata>
  <cellMetadata count="1">
    <bk>
      <rc t="2" v="0"/>
    </bk>
  </cellMetadata>
  <valueMetadata count="11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valueMetadata>
</metadata>
</file>

<file path=xl/sharedStrings.xml><?xml version="1.0" encoding="utf-8"?>
<sst xmlns="http://schemas.openxmlformats.org/spreadsheetml/2006/main" count="531" uniqueCount="373">
  <si>
    <t>*El tablero no es recomendación de compra o venta sino una guía de instrumentos disponibles en base al monitor de research y precios vigentes.</t>
  </si>
  <si>
    <t>PERFIL</t>
  </si>
  <si>
    <t>CONSERVADOR</t>
  </si>
  <si>
    <t>MODERADO/AGRESIVO</t>
  </si>
  <si>
    <t>AUDAZ</t>
  </si>
  <si>
    <t>POSICIÓN</t>
  </si>
  <si>
    <t>COMENTARIO</t>
  </si>
  <si>
    <t>Noticias y Puntos Clave</t>
  </si>
  <si>
    <t>INSTRUMENTO</t>
  </si>
  <si>
    <t xml:space="preserve">ON HD </t>
  </si>
  <si>
    <t xml:space="preserve">YMCXO
IRCPO
TTCDO
TSC4O
PLC5O
MGCRO
TLCPO
FCI ESTRATEGIA 1
</t>
  </si>
  <si>
    <t>TLCPO
PLC5O
YMCXO
IRCPO
MGCRO
ZPC3O
RUCDO
FCI Balanz Ahorro Dólar</t>
  </si>
  <si>
    <t xml:space="preserve">RUCDO
ZPC3O
OZC6O
TLCPO
</t>
  </si>
  <si>
    <t>OW</t>
  </si>
  <si>
    <t>La compresion de rendimientos obliga a buscar mayor duration o creditos de menor calificacion (dependiendo del perfil de riesgo del cliente), con lo cual para perfiles mas conservadores preferimos estirar duration y mantener calidad, mientras que para clientes mas agresivos podemos aumentar exposicion en creditos de menor calidad y duration no tan larga.</t>
  </si>
  <si>
    <t>BONOS USD</t>
  </si>
  <si>
    <t>Bopreales S1</t>
  </si>
  <si>
    <r>
      <rPr>
        <b/>
        <sz val="11"/>
        <color theme="1"/>
        <rFont val="Open Sans"/>
        <family val="2"/>
      </rPr>
      <t xml:space="preserve">AL30 </t>
    </r>
    <r>
      <rPr>
        <sz val="11"/>
        <color theme="1"/>
        <rFont val="Open Sans"/>
        <family val="2"/>
      </rPr>
      <t xml:space="preserve">
AE38 
</t>
    </r>
    <r>
      <rPr>
        <b/>
        <sz val="11"/>
        <color theme="1"/>
        <rFont val="Open Sans"/>
        <family val="2"/>
      </rPr>
      <t xml:space="preserve">GD41 </t>
    </r>
    <r>
      <rPr>
        <sz val="11"/>
        <color theme="1"/>
        <rFont val="Open Sans"/>
        <family val="2"/>
      </rPr>
      <t xml:space="preserve">
SFD34
CO32</t>
    </r>
  </si>
  <si>
    <r>
      <rPr>
        <b/>
        <sz val="11"/>
        <color theme="1"/>
        <rFont val="Open Sans"/>
        <family val="2"/>
      </rPr>
      <t xml:space="preserve">AL30
GD41
</t>
    </r>
    <r>
      <rPr>
        <sz val="11"/>
        <color theme="1"/>
        <rFont val="Open Sans"/>
        <family val="2"/>
      </rPr>
      <t xml:space="preserve">BA37
CO32
</t>
    </r>
  </si>
  <si>
    <t>Los bonos han tenido una compresion aun mayor que las ON lo cual hace aun mas dificil conseguir una tasa de interes mas alta. Para perfiles aversos al riesgo preferimos no recomendar titulos publicos, aunque los bopreales serie 1 pueden ser una buena opcion con tasa atractiva, baja volatilidad y cobro dentro del mandato actual. A medida que aumenta la tolerancia al riesgo podemos posicionarnos en Soberanos mas largos e incluso algunos provinciales.</t>
  </si>
  <si>
    <t>EQUITY LOCAL</t>
  </si>
  <si>
    <t>N/A</t>
  </si>
  <si>
    <t xml:space="preserve"> Equity Selection</t>
  </si>
  <si>
    <t xml:space="preserve">CEPU
TECO2
MELI
VIST
TXAR
</t>
  </si>
  <si>
    <t>Nuestros especialistas de research corporativo mantienen una visión constructiva respecto a empresas como VIST por sus señales de crecimiento sólidas provistas a inversoras, CEPU —que se espera que sea uno de los ganadores en la reforma del sistema de generación eléctrica—, TEO — cuyo acuerdo con Telefónica Argentina viene siendo muy rentable— y TXAR por sus valuaciones y sus pagos de dividendos</t>
  </si>
  <si>
    <t>CEDEARS</t>
  </si>
  <si>
    <t>SPY
ITA
VEA
EEM
EWZ</t>
  </si>
  <si>
    <t xml:space="preserve">GOOG AMZN ITA TSLA SMH XLF
XLE NVDA NU TSM ASML META GLD URA
</t>
  </si>
  <si>
    <t>En Cedears buscamos posicionarnos en las principales compañias, con foco en tecnologicas pero sin descuidar la diversificacion sectorial y regional (NU, GLD, URA, XLF y XLE). Para perfiles mas moderados buscamos exposicion a ETF, mientras que para los mas avesados en el mercado seleccionamos, en su mayoria, acciones individuales, a excepcion de XLF donde preferimos apostar al sector ya que contiene mucho equity atractivo (JPM, GS, BRK, V, MA), mismo caso para XLE y SMH</t>
  </si>
  <si>
    <t>PESOS</t>
  </si>
  <si>
    <r>
      <t>Balanz Money Market,</t>
    </r>
    <r>
      <rPr>
        <b/>
        <sz val="11"/>
        <color theme="1"/>
        <rFont val="Open Sans"/>
        <family val="2"/>
      </rPr>
      <t xml:space="preserve"> 
Balanz PER2</t>
    </r>
    <r>
      <rPr>
        <sz val="11"/>
        <color theme="1"/>
        <rFont val="Open Sans"/>
        <family val="2"/>
      </rPr>
      <t>, 
Balanz ahorro 
Caucion</t>
    </r>
  </si>
  <si>
    <t xml:space="preserve"> Balanz Renta Mixta y 
Balanz Institucional</t>
  </si>
  <si>
    <r>
      <rPr>
        <b/>
        <sz val="11"/>
        <color theme="1"/>
        <rFont val="Open Sans"/>
        <family val="2"/>
      </rPr>
      <t>Balanz Equity Selection</t>
    </r>
    <r>
      <rPr>
        <sz val="11"/>
        <color theme="1"/>
        <rFont val="Open Sans"/>
        <family val="2"/>
      </rPr>
      <t>, 
Balanz Crédito Privado  
FCI LONG
TY30P
Duales/Tamar</t>
    </r>
  </si>
  <si>
    <t>MW</t>
  </si>
  <si>
    <t>Observamos debilidad en la curva de pesos dada la volatilidad de la caucion y el repunte de la inflacion, razon por la cual preferimos para corto plazo la caucion (mientras se mantengan las tasas positivas) y para mediano y largo bonos CER. 
Solo para perfiles mas arriesgados vemos atractivo al TY30P para carry trade, aunque para esos plazos preferimos instrumentos dolarizados.</t>
  </si>
  <si>
    <t>FCI USD</t>
  </si>
  <si>
    <t>Balanz Estrategia 1 (tiene 20% en tbills), 
Renta Fija Global (CCL)</t>
  </si>
  <si>
    <t>Balanz Ahorro Dólar (corporativo) y 
Balanz Estrategia 3 (LATAM MEP)</t>
  </si>
  <si>
    <t>Balanz Renta Fija Dólar</t>
  </si>
  <si>
    <t>Los FCI USD son una buena opcion para quienes busquen una rentabilidad en moneda dura sin demasiada volatilidad y con la gestion de un equipo profesional que se encarga de actualizar las carteras en funcion de los nuevos acontecimientos</t>
  </si>
  <si>
    <t>Curva CER</t>
  </si>
  <si>
    <t>Soberanos CER &lt;6m</t>
  </si>
  <si>
    <t>Balanz Institucional
Soberanos CER 1Y</t>
  </si>
  <si>
    <t>TX28
Soberanos CER &gt;1Y</t>
  </si>
  <si>
    <t>Los Boncer lucen atractivos en un contexto de inflacion repuntando y un nuevo esquema cambiaron donde se priorizaria mas un dólar competitivo a una baja de la inflacion.</t>
  </si>
  <si>
    <t>Curva DL</t>
  </si>
  <si>
    <r>
      <t xml:space="preserve">FCI Dólar Linked
</t>
    </r>
    <r>
      <rPr>
        <sz val="11"/>
        <color theme="1"/>
        <rFont val="Open Sans"/>
        <family val="2"/>
      </rPr>
      <t>Bopreales S1</t>
    </r>
  </si>
  <si>
    <t>Dada la brecha entre el oficial y el mep preferimos posicionarnos en estos ultimos, aunque para clientes que busquen cobertura vemos atractivo el FCI DL que posee activos que un inversor individual dificilmente consiga, o bien BOP serie 1 con put ARCA/DL, los cuales dan doble cobertura DL/MEP y ademas tienen mayor liquidez que un DL convencional</t>
  </si>
  <si>
    <t xml:space="preserve">CARTERA AUDAZ </t>
  </si>
  <si>
    <t>Objetivo</t>
  </si>
  <si>
    <t>Riesgos</t>
  </si>
  <si>
    <t>El objetivo es maximizar la rentabilidad posicionandonos a largo plazo en las principales compañias que lideran la nueva revolucion tecnologica, aunque sin descuidar la diversificacion por sectores y regiones. Tambien buscamos aprovechar momentum en ciertas acciones.</t>
  </si>
  <si>
    <t>Esta cartera está destinada a inversores con un perfil sofisticado y avesado, con conocimientos amplios sobre este tipo de instrumentos y su volatilidad. Es importante entender que el mercado accionario puede presentar caidas que no todos estan dispuestos a tolerar.</t>
  </si>
  <si>
    <t>PORTFOLIO AUDAZ</t>
  </si>
  <si>
    <t>Equity Internacional</t>
  </si>
  <si>
    <t>Denominacion</t>
  </si>
  <si>
    <t>GOOG</t>
  </si>
  <si>
    <t>AMZN</t>
  </si>
  <si>
    <t>ITA</t>
  </si>
  <si>
    <t>TSLA</t>
  </si>
  <si>
    <t>SMH</t>
  </si>
  <si>
    <t>XLF</t>
  </si>
  <si>
    <t>XLE</t>
  </si>
  <si>
    <t>NVDA</t>
  </si>
  <si>
    <t>NU</t>
  </si>
  <si>
    <t>TSM</t>
  </si>
  <si>
    <t>ASML</t>
  </si>
  <si>
    <t>META</t>
  </si>
  <si>
    <t>GLD</t>
  </si>
  <si>
    <t>URA</t>
  </si>
  <si>
    <t>Equity Local</t>
  </si>
  <si>
    <t>MELI</t>
  </si>
  <si>
    <t>VIST</t>
  </si>
  <si>
    <t>CEPU</t>
  </si>
  <si>
    <t>TXAR</t>
  </si>
  <si>
    <t>TEO (TECO2)</t>
  </si>
  <si>
    <t>Renta Fija Soberana y Sub</t>
  </si>
  <si>
    <t>GD41</t>
  </si>
  <si>
    <t>BONOS GLOBALES DE LA REPUBLICA ARGENTINA AMORTIZABLES EN USD STEP UP 2041</t>
  </si>
  <si>
    <t>AL30</t>
  </si>
  <si>
    <t>BONOS DE LA REPUBLICA ARGENTINA EN USD STEP UP 2030</t>
  </si>
  <si>
    <t>BA37A</t>
  </si>
  <si>
    <t>Bonos A Provincia de Buenos Aires - Dolares</t>
  </si>
  <si>
    <t>CO32</t>
  </si>
  <si>
    <t>Titulos de Deuda de la Provincia de Cordoba - Vto 02/07/2032</t>
  </si>
  <si>
    <t>PONDERACION POR CLASE DE INSTRUMENTO</t>
  </si>
  <si>
    <t>INSTRUMENTOS</t>
  </si>
  <si>
    <t>PONDERACION</t>
  </si>
  <si>
    <t>CEDEARS/ETF/ACCIONES EXT</t>
  </si>
  <si>
    <t>ACCIONES LOCALES</t>
  </si>
  <si>
    <t>TITULOS PUBLICOS SUB Y SOB</t>
  </si>
  <si>
    <t>RENDIMIENTO</t>
  </si>
  <si>
    <t>MEP</t>
  </si>
  <si>
    <t xml:space="preserve">TIR </t>
  </si>
  <si>
    <t>DURATION</t>
  </si>
  <si>
    <t xml:space="preserve">CARTERA MODERADA </t>
  </si>
  <si>
    <t>El objetivo es obtener la mayor rentabilidad posible en USD a traves de instrumentos de renta fija locales de buena calidad crediticia. 
Ademas, para clientes con mayor apetito al riesgo, que busquen apreciacion del capital a largo plazo, un cuarto de la cartera esta enfocada en ETF accionarios que repliquen indices y regiones.</t>
  </si>
  <si>
    <t>Distintos tipos de inversores pueden considerarse moderados, con lo cual se deberá analizar en detalle el grado de riesgo que cada uno esta dispuesto a asumir.
Cuanto mas riesgo asuma el inversor mayor la ponderacion en renta variable y titulos publicos locales, mientras que en clientes aversos al riesgo, recomendamos no incluir renta variable y titulos publicos o bien reducirlo al minimo</t>
  </si>
  <si>
    <t>ACTIVO</t>
  </si>
  <si>
    <t>SOBERANOS/BOPREALES</t>
  </si>
  <si>
    <t>TIR</t>
  </si>
  <si>
    <t>DUR</t>
  </si>
  <si>
    <t>AE38</t>
  </si>
  <si>
    <t>SFD34</t>
  </si>
  <si>
    <t>RENTA FIJA CORPORATIVA</t>
  </si>
  <si>
    <t>TLCPO</t>
  </si>
  <si>
    <t>PLC5O</t>
  </si>
  <si>
    <t>YMCXO</t>
  </si>
  <si>
    <t>IRCPO</t>
  </si>
  <si>
    <t>MGCRO</t>
  </si>
  <si>
    <t>ZPC3O</t>
  </si>
  <si>
    <t>RUCDO</t>
  </si>
  <si>
    <t>RENTA VARIABLE</t>
  </si>
  <si>
    <t>SPY</t>
  </si>
  <si>
    <t>VEA</t>
  </si>
  <si>
    <t>EEM</t>
  </si>
  <si>
    <t>EQUITY SELECTION</t>
  </si>
  <si>
    <t>FCI BALANZ EQUITY SELECTION</t>
  </si>
  <si>
    <t>EWZ</t>
  </si>
  <si>
    <t>SOBERANOS Y SUB</t>
  </si>
  <si>
    <t>ON</t>
  </si>
  <si>
    <t>Sectores, indices, regiones, commodities y estrategias</t>
  </si>
  <si>
    <t>SECTOR</t>
  </si>
  <si>
    <t>TICKER</t>
  </si>
  <si>
    <t>PRICE</t>
  </si>
  <si>
    <t>CHANGE%</t>
  </si>
  <si>
    <t>MTD</t>
  </si>
  <si>
    <t>YTD</t>
  </si>
  <si>
    <t>31/12/2023</t>
  </si>
  <si>
    <t>31/12/2021</t>
  </si>
  <si>
    <t>31/12/2019</t>
  </si>
  <si>
    <t>TECNOLOGIA</t>
  </si>
  <si>
    <t>XLK</t>
  </si>
  <si>
    <t>SERVICIOS FINANCIEROS</t>
  </si>
  <si>
    <t>SERVICIOS DE COMUNICACIONES</t>
  </si>
  <si>
    <t>XLC</t>
  </si>
  <si>
    <t>SALUD</t>
  </si>
  <si>
    <t>XLV</t>
  </si>
  <si>
    <t>CONSUMO DISCRECIONAL</t>
  </si>
  <si>
    <t>XLY</t>
  </si>
  <si>
    <t>ENERGIAS</t>
  </si>
  <si>
    <t>CONSUMO BASICO</t>
  </si>
  <si>
    <t>XLP</t>
  </si>
  <si>
    <t>SECTOR INMOBILIARIO</t>
  </si>
  <si>
    <t>XLRE.K</t>
  </si>
  <si>
    <t>INDUSTRIALES</t>
  </si>
  <si>
    <t>XLI</t>
  </si>
  <si>
    <t>SERVICIOS PUBLICOS</t>
  </si>
  <si>
    <t>XLU</t>
  </si>
  <si>
    <t>MATERIALES BASICOS</t>
  </si>
  <si>
    <t>XLB</t>
  </si>
  <si>
    <t>INDICES</t>
  </si>
  <si>
    <t>S&amp;P 500</t>
  </si>
  <si>
    <t>NASDAQ 100</t>
  </si>
  <si>
    <t>QQQ.O</t>
  </si>
  <si>
    <t>DOW JONES</t>
  </si>
  <si>
    <t>DIA</t>
  </si>
  <si>
    <t>RUSSELL 2000</t>
  </si>
  <si>
    <t>IWM</t>
  </si>
  <si>
    <t>MICRO-CAPS</t>
  </si>
  <si>
    <t>IWC</t>
  </si>
  <si>
    <t>REGIONES</t>
  </si>
  <si>
    <t>MSCI WORLD</t>
  </si>
  <si>
    <t>ACWI.N</t>
  </si>
  <si>
    <t>EMERGING MARKET</t>
  </si>
  <si>
    <t>MSCI BRAZIL</t>
  </si>
  <si>
    <t>GLOBAL X FUNDS ARGENTINA</t>
  </si>
  <si>
    <t>ARGT.K</t>
  </si>
  <si>
    <t>S&amp;P MERVAL</t>
  </si>
  <si>
    <t>.MERV</t>
  </si>
  <si>
    <t>CCL</t>
  </si>
  <si>
    <t>ISHARES EUROPE</t>
  </si>
  <si>
    <t>IEUR.K</t>
  </si>
  <si>
    <t>FTSE CHINA</t>
  </si>
  <si>
    <t>FXI</t>
  </si>
  <si>
    <t>DEVELOPED MARKETS</t>
  </si>
  <si>
    <t>MSCI JAPAN</t>
  </si>
  <si>
    <t>EWJ</t>
  </si>
  <si>
    <t>COMMODITIES</t>
  </si>
  <si>
    <t>ORO</t>
  </si>
  <si>
    <t>PLATA</t>
  </si>
  <si>
    <t>SLV</t>
  </si>
  <si>
    <t>URANIO</t>
  </si>
  <si>
    <t>COBRE</t>
  </si>
  <si>
    <t>COPX.N</t>
  </si>
  <si>
    <t>LITIO</t>
  </si>
  <si>
    <t>LIT</t>
  </si>
  <si>
    <t>PETROLEO BRENT</t>
  </si>
  <si>
    <t>BNO</t>
  </si>
  <si>
    <t>GAS NATURAL</t>
  </si>
  <si>
    <t>UNG</t>
  </si>
  <si>
    <t>SOJA</t>
  </si>
  <si>
    <t>SOYB.K</t>
  </si>
  <si>
    <t>TRIGO</t>
  </si>
  <si>
    <t>WEAT.N</t>
  </si>
  <si>
    <t>MAIZ</t>
  </si>
  <si>
    <t>CORN.N</t>
  </si>
  <si>
    <t>TIERRAS RARAS</t>
  </si>
  <si>
    <t>REMX.N</t>
  </si>
  <si>
    <t>US FACTOR</t>
  </si>
  <si>
    <t>VALUE</t>
  </si>
  <si>
    <t>IUSV.N</t>
  </si>
  <si>
    <t>GROWTH</t>
  </si>
  <si>
    <t>IUSG.N</t>
  </si>
  <si>
    <t>MOMENTUM</t>
  </si>
  <si>
    <t>MTUM.N</t>
  </si>
  <si>
    <t>QUALITY</t>
  </si>
  <si>
    <t>QUAL.N</t>
  </si>
  <si>
    <t>LOW VOLATILITY</t>
  </si>
  <si>
    <t>USMV.N</t>
  </si>
  <si>
    <t>HIGH DIVIDEND YIELD</t>
  </si>
  <si>
    <t>VYM.N</t>
  </si>
  <si>
    <t>DIVIDEND GROWTH</t>
  </si>
  <si>
    <t>DGRO.N</t>
  </si>
  <si>
    <t>EQUAL WEIGHT</t>
  </si>
  <si>
    <t>RSP.N</t>
  </si>
  <si>
    <t>CARTERA CONSERVADORA</t>
  </si>
  <si>
    <t>El objetivo es obtener una renta en USD priorizando la calidad crediticia de los instrumentos seleccionados, sin exposicion al sector publico nacional y diversificando entre empresas de distintos rubros asi como en FCI administrados por Balanz.</t>
  </si>
  <si>
    <t>Este tipo de cartera busca minimizar el riesgo crediticio al optar en su mayoria por creditos AAA/AA+, tambien se reduce la volatilidad al eliminar renta variable y renta fija soberana, e incorporando FCI Global para una mayor exposicion al mercado de deuda americano.</t>
  </si>
  <si>
    <t>TTCDO</t>
  </si>
  <si>
    <t>TSC4O</t>
  </si>
  <si>
    <t>FCI</t>
  </si>
  <si>
    <t>DÓLAR CORTO PLAZO</t>
  </si>
  <si>
    <t>RENTA FIJA GLOBAL (CABLE)</t>
  </si>
  <si>
    <t>OBLIGACIONES NEGOCIABLES</t>
  </si>
  <si>
    <t>CALENDARIO DE PAGO DE RENTAS</t>
  </si>
  <si>
    <t>ENERO</t>
  </si>
  <si>
    <t>FEBRERO</t>
  </si>
  <si>
    <t>MARZO</t>
  </si>
  <si>
    <t>ABRIL</t>
  </si>
  <si>
    <t>MAYO</t>
  </si>
  <si>
    <t>JUNIO</t>
  </si>
  <si>
    <t>JULIO</t>
  </si>
  <si>
    <t>AGOSTO</t>
  </si>
  <si>
    <t>SEPTIEMBRE</t>
  </si>
  <si>
    <t>OCTUBRE</t>
  </si>
  <si>
    <t>NOVIEMBRE</t>
  </si>
  <si>
    <t>DICIEMBRE</t>
  </si>
  <si>
    <t>TOTAL</t>
  </si>
  <si>
    <t>CARTERA AGRESIVA</t>
  </si>
  <si>
    <t>TOTAL POR BONO</t>
  </si>
  <si>
    <t>BA37</t>
  </si>
  <si>
    <t>TOTAL MES</t>
  </si>
  <si>
    <t>CARTERA MODERADA</t>
  </si>
  <si>
    <t>NOTA: USD por cada 100 VN.</t>
  </si>
  <si>
    <t>COMMODITY</t>
  </si>
  <si>
    <t>DENOMINACION</t>
  </si>
  <si>
    <t>DESCRIPCION</t>
  </si>
  <si>
    <t>MARKET CAP</t>
  </si>
  <si>
    <t>Replica el precio del oro físico. Cobertura macro e inflación.</t>
  </si>
  <si>
    <t>B</t>
  </si>
  <si>
    <t>Una de las mayores mineras de oro del mundo. Cobertura clásica contra inflación y riesgo sistémico.</t>
  </si>
  <si>
    <t>NEM</t>
  </si>
  <si>
    <t>Principal productor mundial de oro. Portafolio diversificado de minas.</t>
  </si>
  <si>
    <t>KGC</t>
  </si>
  <si>
    <t>Productor de oro con operaciones en América y África.</t>
  </si>
  <si>
    <t>AEM</t>
  </si>
  <si>
    <t>Minera de oro enfocada en jurisdicciones de bajo riesgo político.</t>
  </si>
  <si>
    <t>GDX</t>
  </si>
  <si>
    <t>ETF de mineras de oro (apalancado al precio del oro).</t>
  </si>
  <si>
    <t>HMY</t>
  </si>
  <si>
    <t>Extraccion de Oro en Sudafrica.</t>
  </si>
  <si>
    <t>Replica el precio spot de la plata.</t>
  </si>
  <si>
    <t>PAAS</t>
  </si>
  <si>
    <t>Productor líder de plata con exposición secundaria al oro.</t>
  </si>
  <si>
    <t>HL</t>
  </si>
  <si>
    <t>Minera especializada en plata en EE.UU. y Canadá.</t>
  </si>
  <si>
    <t>CDE</t>
  </si>
  <si>
    <t>Productor de plata con minas en América del Norte.</t>
  </si>
  <si>
    <t>COPX</t>
  </si>
  <si>
    <t>ETF que replica empresas mineras de cobre a nivel global. Muy sensible al ciclo industrial, China y transición energética (electrificación).</t>
  </si>
  <si>
    <t>FCX</t>
  </si>
  <si>
    <t>Principal productor global de cobre. Muy ligada al ciclo industrial chino.</t>
  </si>
  <si>
    <t>SCCO</t>
  </si>
  <si>
    <t>Productor de cobre de bajo costo, fuerte generación de caja.</t>
  </si>
  <si>
    <t>LAR</t>
  </si>
  <si>
    <t>Empresa enfocada en el desarrollo de proyectos de litio en América. Apuesta de alto riesgo al crecimiento de la demanda de baterías.</t>
  </si>
  <si>
    <t>LAC</t>
  </si>
  <si>
    <t>Spin-off enfocada exclusivamente en activos de litio en Argentina. Exposición directa al litio + riesgo país argentino</t>
  </si>
  <si>
    <t>Invierte en empresas relacionadas con la minería de litio, la tecnología de baterías y la cadena de suministro de vehículos eléctricos,</t>
  </si>
  <si>
    <t>PETROLEO Y GAS</t>
  </si>
  <si>
    <t>XOM</t>
  </si>
  <si>
    <t>Mayor petrolera integrada del mundo. Exploración, producción, refinación y petroquímica. Alta correlación con el precio del crudo.</t>
  </si>
  <si>
    <t>CVX</t>
  </si>
  <si>
    <t>Petrolera integrada global con fuerte presencia en upstream y downstream. Cash flow muy sensible al Brent.</t>
  </si>
  <si>
    <t>SHEL</t>
  </si>
  <si>
    <t>Multinacional energética con foco en petróleo, gas y LNG. Gran diversificación geográfica.</t>
  </si>
  <si>
    <t>ETF de petroleras y empresas energéticas de EE.UU.</t>
  </si>
  <si>
    <t>Empresas de minería, químicos y materiales básicos.</t>
  </si>
  <si>
    <t>YPFD</t>
  </si>
  <si>
    <t>Explotacion, refinacion y distribucion de Petroleo y gas. Opera segmento Upstream, Downstream y otros productos petroquimicos.</t>
  </si>
  <si>
    <t>PAMP</t>
  </si>
  <si>
    <t>Generación de energia y explotación de petroleo y gas, upstream, midstream y downstream. También opera segmento Petroquimico.</t>
  </si>
  <si>
    <t>OXY</t>
  </si>
  <si>
    <t>Productor de petróleo y gas en EE.UU. Muy apalancado al precio del crudo. Favorecido por el respaldo histórico de Berkshire Hathaway.</t>
  </si>
  <si>
    <t>BP</t>
  </si>
  <si>
    <t>Petrolera integrada con transición parcial hacia energías renovables. Alta exposición a commodities energéticos.</t>
  </si>
  <si>
    <t>TTE</t>
  </si>
  <si>
    <t>Empresa francesa integrada, fuerte en petróleo y gas natural licuado.</t>
  </si>
  <si>
    <t>EQNR</t>
  </si>
  <si>
    <t>Petrolera estatal noruega. Alta exposición al petróleo del Mar del Norte.</t>
  </si>
  <si>
    <t>E</t>
  </si>
  <si>
    <t>Petrolera italiana con operaciones globales en exploración y producción.</t>
  </si>
  <si>
    <t>PBR</t>
  </si>
  <si>
    <t>Petrolera brasileña, fuerte generación de caja ligada al crudo y al real brasileño.</t>
  </si>
  <si>
    <t>Productor independiente de shale oil en Vaca Muerta. Alta beta al precio del petróleo.</t>
  </si>
  <si>
    <t>GPRK</t>
  </si>
  <si>
    <t>Productor de petróleo en Latinoamérica. Sensible al Brent y riesgo regional.</t>
  </si>
  <si>
    <t>SLB</t>
  </si>
  <si>
    <t>Principal proveedor mundial de servicios petroleros. Gana con mayor inversión en perforación.</t>
  </si>
  <si>
    <t>HAL</t>
  </si>
  <si>
    <t>Servicios para exploración y producción. Muy cíclica al ciclo del petróleo.</t>
  </si>
  <si>
    <t>BKR</t>
  </si>
  <si>
    <t>Equipamiento y servicios para la industria energética.</t>
  </si>
  <si>
    <t>USO</t>
  </si>
  <si>
    <t>Replica futuros de petróleo WTI. Muy sensible al contango/backwardation.</t>
  </si>
  <si>
    <t>AGRO</t>
  </si>
  <si>
    <t>Productor agroindustrial en LATAM: soja, maíz, azúcar, etanol.</t>
  </si>
  <si>
    <t>LND</t>
  </si>
  <si>
    <t>Empresa agrícola enfocada en compra y desarrollo de tierras productivas.</t>
  </si>
  <si>
    <t>Productora de maquinaria agricola.</t>
  </si>
  <si>
    <t>MOS</t>
  </si>
  <si>
    <t>Productor global de potasio y fosfatos. Muy ligado a precios agrícolas.</t>
  </si>
  <si>
    <t>BIOX</t>
  </si>
  <si>
    <t>Productora de semillas, coadyuvantes y fertilizantes</t>
  </si>
  <si>
    <t>DE</t>
  </si>
  <si>
    <t>Produce y distribuye maquinaria para agro, construcción. Tambien opera con servicios financieros.</t>
  </si>
  <si>
    <t>BG</t>
  </si>
  <si>
    <t>Agronegocios, aceites refinados, bioenergia.</t>
  </si>
  <si>
    <t>OTROS METALES Y MINERALES</t>
  </si>
  <si>
    <t>VALE</t>
  </si>
  <si>
    <t>Gigante brasileño del hierro. Alta dependencia de China.</t>
  </si>
  <si>
    <t>ETF de mineras de uranio y energía nuclear.</t>
  </si>
  <si>
    <t>IP</t>
  </si>
  <si>
    <t>Empresa forestal y papelera ligada al ciclo económico.</t>
  </si>
  <si>
    <t>DOW</t>
  </si>
  <si>
    <t>Química básica e industrial, muy cíclica.</t>
  </si>
  <si>
    <t>DD</t>
  </si>
  <si>
    <t>Materiales especializados y químicos industriales.</t>
  </si>
  <si>
    <t>NXE</t>
  </si>
  <si>
    <t>Explorador de uranio en Canadá. Apuesta al ciclo nuclear.</t>
  </si>
  <si>
    <t>SID</t>
  </si>
  <si>
    <t>Productor siderúrgico brasileño, expuesto al ciclo industrial.</t>
  </si>
  <si>
    <t>SUZ</t>
  </si>
  <si>
    <t>Principal productor mundial de celulosa de eucalipto.</t>
  </si>
  <si>
    <t>BHP</t>
  </si>
  <si>
    <t>Minería global diversificada: hierro, cobre, carbón.</t>
  </si>
  <si>
    <t>RIO</t>
  </si>
  <si>
    <t>Multinacional minera con foco en hierro y cobre.</t>
  </si>
  <si>
    <t>REMX</t>
  </si>
  <si>
    <t>Invierte en empresas productoras, refinadoras y recicladoras de tierras raras y metales estratégicos</t>
  </si>
  <si>
    <t>Trades, Swaps &amp; Sugerencias Abiertas</t>
  </si>
  <si>
    <t>Trade</t>
  </si>
  <si>
    <t>Instrumento</t>
  </si>
  <si>
    <t>Fecha</t>
  </si>
  <si>
    <t>Estado</t>
  </si>
  <si>
    <t>Comentarios</t>
  </si>
  <si>
    <t>SWAP</t>
  </si>
  <si>
    <t>BPY26 x BPOC7/D</t>
  </si>
  <si>
    <t>ENE-26</t>
  </si>
  <si>
    <t>Abierto</t>
  </si>
  <si>
    <t>BPY26 rinde -10% con lo cual se gana mas por venderlo en secundario que esperar al vto. Rotando hacia BPOC7 tenemos mismo riesgo (BCRA) y mejor tasa</t>
  </si>
  <si>
    <t>TRADE</t>
  </si>
  <si>
    <t>Credito recomendable para perfiles moderados (AA) con TIR 8.5% y Duration de 1.50, ideal para hacer tasa con un riesgo crediticio acotado</t>
  </si>
  <si>
    <t>AL41 x GD41</t>
  </si>
  <si>
    <t>Actualmente con un spread nulo, da la oportunidad de rotar hacia el mismo titulo pero con legislacion extranjera</t>
  </si>
  <si>
    <t>LICITACION</t>
  </si>
  <si>
    <t>SCANIA CL 2</t>
  </si>
  <si>
    <t>CERRADO</t>
  </si>
  <si>
    <t>Brazo financiero local de una de las Cias mas importantes de fabricacion de camiones (Grupo VW), credito AA con buen flujo de pagos, amortizacion + intereses trimestrales en 11 cuotas a partir del mes 6.</t>
  </si>
  <si>
    <t>REINVERSION DE CUPON+AMORT</t>
  </si>
  <si>
    <t>BPOC7/AL30
ON AAA
Licitaciones</t>
  </si>
  <si>
    <t>Los titulos soberanos pagaran cupon + amortizacion este 09-01, cuyos flujos pueden ser reinvertidos dentro de la curva soberana o bien diversificar hacia otros creditos.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</si>
</sst>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0.0"/>
    <numFmt numFmtId="166" formatCode="0.0%"/>
    <numFmt numFmtId="167" formatCode="_-[$USD]\ * #,##0_-;\-[$USD]\ * #,##0_-;_-[$USD]\ * &quot;-&quot;_-;_-@_-"/>
    <numFmt numFmtId="168" formatCode="_([$$-409]* #,##0.00_);_([$$-409]* \(#,##0.00\);_([$$-409]* &quot;-&quot;??_);_(@_)"/>
    <numFmt numFmtId="169" formatCode="_-[$USD]\ * #,##0.00_-;\-[$USD]\ * #,##0.00_-;_-[$USD]\ * &quot;-&quot;_-;_-@_-"/>
  </numFmts>
  <fonts count="30">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theme="1"/>
      <name val="Open Sans"/>
      <family val="2"/>
    </font>
    <font>
      <b/>
      <sz val="11"/>
      <color rgb="FF002060"/>
      <name val="Open Sans"/>
      <family val="2"/>
    </font>
    <font>
      <sz val="10"/>
      <color rgb="FF002060"/>
      <name val="Open Sans"/>
      <family val="2"/>
    </font>
    <font>
      <b/>
      <sz val="11"/>
      <color theme="0"/>
      <name val="Open Sans"/>
      <family val="2"/>
    </font>
    <font>
      <b/>
      <sz val="10"/>
      <color rgb="FF002060"/>
      <name val="Open Sans"/>
      <family val="2"/>
    </font>
    <font>
      <sz val="9"/>
      <color rgb="FF002060"/>
      <name val="Open Sans"/>
      <family val="2"/>
    </font>
    <font>
      <sz val="11"/>
      <color rgb="FF002060"/>
      <name val="Open Sans"/>
      <family val="2"/>
    </font>
    <font>
      <b/>
      <sz val="11"/>
      <color theme="1"/>
      <name val="Open Sans"/>
      <family val="2"/>
    </font>
    <font>
      <sz val="11"/>
      <color rgb="FF000000"/>
      <name val="Calibri"/>
      <family val="2"/>
    </font>
    <font>
      <b/>
      <sz val="11"/>
      <color theme="7" tint="-0.249977111117893"/>
      <name val="Open Sans"/>
      <family val="2"/>
    </font>
    <font>
      <b/>
      <sz val="10"/>
      <color theme="0"/>
      <name val="Open Sans"/>
      <family val="2"/>
    </font>
    <font>
      <b/>
      <sz val="14"/>
      <color theme="0"/>
      <name val="Open Sans"/>
      <family val="2"/>
    </font>
    <font>
      <b/>
      <sz val="18"/>
      <color theme="0"/>
      <name val="Open Sans"/>
      <family val="2"/>
    </font>
    <font>
      <sz val="12"/>
      <color theme="1"/>
      <name val="Calibri"/>
      <family val="2"/>
      <scheme val="minor"/>
    </font>
    <font>
      <b/>
      <sz val="12"/>
      <color theme="1"/>
      <name val="Calibri"/>
      <family val="2"/>
      <scheme val="minor"/>
    </font>
    <font>
      <b/>
      <sz val="14"/>
      <color theme="1"/>
      <name val="Open Sans"/>
      <family val="2"/>
    </font>
    <font>
      <sz val="14"/>
      <color theme="1"/>
      <name val="Open Sans"/>
      <family val="2"/>
    </font>
    <font>
      <sz val="10"/>
      <color theme="1"/>
      <name val="Open Sans"/>
      <family val="2"/>
    </font>
    <font>
      <b/>
      <sz val="16"/>
      <color theme="0"/>
      <name val="Calibri"/>
      <family val="2"/>
      <scheme val="minor"/>
    </font>
    <font>
      <b/>
      <sz val="16"/>
      <color theme="1"/>
      <name val="Calibri"/>
      <family val="2"/>
      <scheme val="minor"/>
    </font>
    <font>
      <sz val="11"/>
      <name val="Open Sans"/>
      <family val="2"/>
    </font>
    <font>
      <b/>
      <sz val="11"/>
      <name val="Open Sans"/>
      <family val="2"/>
    </font>
    <font>
      <sz val="11"/>
      <color theme="0"/>
      <name val="Open Sans"/>
      <family val="2"/>
    </font>
    <font>
      <b/>
      <sz val="18"/>
      <color theme="0"/>
      <name val="Open Sans"/>
    </font>
    <font>
      <b/>
      <sz val="12"/>
      <color theme="0"/>
      <name val="Calibri"/>
      <family val="2"/>
      <scheme val="minor"/>
    </font>
    <font>
      <b/>
      <sz val="16"/>
      <color theme="0"/>
      <name val="Open Sans"/>
      <family val="2"/>
    </font>
  </fonts>
  <fills count="23">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7" tint="-0.249977111117893"/>
        <bgColor rgb="FF17365D"/>
      </patternFill>
    </fill>
    <fill>
      <patternFill patternType="solid">
        <fgColor theme="0" tint="-0.34998626667073579"/>
        <bgColor rgb="FF17365D"/>
      </patternFill>
    </fill>
    <fill>
      <patternFill patternType="solid">
        <fgColor theme="9" tint="-0.249977111117893"/>
        <bgColor rgb="FF17365D"/>
      </patternFill>
    </fill>
    <fill>
      <patternFill patternType="solid">
        <fgColor rgb="FFB87333"/>
        <bgColor rgb="FF17365D"/>
      </patternFill>
    </fill>
    <fill>
      <patternFill patternType="solid">
        <fgColor rgb="FF99CCFF"/>
        <bgColor rgb="FF17365D"/>
      </patternFill>
    </fill>
    <fill>
      <patternFill patternType="solid">
        <fgColor rgb="FF222222"/>
        <bgColor rgb="FF17365D"/>
      </patternFill>
    </fill>
    <fill>
      <patternFill patternType="solid">
        <fgColor theme="3" tint="-0.24997711111789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79998168889431442"/>
        <bgColor indexed="64"/>
      </patternFill>
    </fill>
    <fill>
      <patternFill patternType="solid">
        <fgColor theme="5" tint="-0.49998474074526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theme="0"/>
      </left>
      <right style="thin">
        <color theme="0"/>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s>
  <cellStyleXfs count="3">
    <xf numFmtId="0" fontId="0" fillId="0" borderId="0"/>
    <xf numFmtId="9" fontId="1" fillId="0" borderId="0" applyFont="0" applyFill="0" applyBorder="0" applyAlignment="0" applyProtection="0"/>
    <xf numFmtId="0" fontId="12" fillId="0" borderId="0"/>
  </cellStyleXfs>
  <cellXfs count="158">
    <xf numFmtId="0" fontId="0" fillId="0" borderId="0" xfId="0"/>
    <xf numFmtId="0" fontId="0" fillId="2" borderId="0" xfId="0" applyFill="1"/>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4" fillId="2" borderId="0" xfId="0" applyFont="1" applyFill="1"/>
    <xf numFmtId="0" fontId="5" fillId="5" borderId="5" xfId="0" applyFont="1" applyFill="1" applyBorder="1" applyAlignment="1">
      <alignment horizontal="center" vertical="center"/>
    </xf>
    <xf numFmtId="10" fontId="5" fillId="5" borderId="6" xfId="1" applyNumberFormat="1" applyFont="1" applyFill="1" applyBorder="1" applyAlignment="1">
      <alignment horizontal="center" vertical="center"/>
    </xf>
    <xf numFmtId="9" fontId="6" fillId="2" borderId="0" xfId="0" applyNumberFormat="1" applyFont="1" applyFill="1" applyAlignment="1">
      <alignment horizontal="center"/>
    </xf>
    <xf numFmtId="0" fontId="6" fillId="2" borderId="0" xfId="0" applyFont="1" applyFill="1"/>
    <xf numFmtId="0" fontId="5" fillId="5" borderId="0" xfId="0" applyFont="1" applyFill="1" applyAlignment="1">
      <alignment horizontal="center" vertical="center"/>
    </xf>
    <xf numFmtId="165" fontId="5" fillId="5" borderId="7" xfId="0" applyNumberFormat="1" applyFont="1" applyFill="1" applyBorder="1" applyAlignment="1">
      <alignment horizontal="center" vertical="center"/>
    </xf>
    <xf numFmtId="9" fontId="8" fillId="5" borderId="0" xfId="0" applyNumberFormat="1" applyFont="1" applyFill="1" applyAlignment="1">
      <alignment horizontal="center"/>
    </xf>
    <xf numFmtId="0" fontId="9" fillId="2" borderId="0" xfId="0" applyFont="1" applyFill="1" applyAlignment="1">
      <alignment horizontal="left" vertical="center"/>
    </xf>
    <xf numFmtId="10" fontId="10" fillId="2" borderId="0" xfId="0" applyNumberFormat="1" applyFont="1" applyFill="1" applyAlignment="1">
      <alignment horizontal="center" vertical="center"/>
    </xf>
    <xf numFmtId="0" fontId="10" fillId="2" borderId="0" xfId="0" applyFont="1" applyFill="1" applyAlignment="1">
      <alignment horizontal="center" vertical="center"/>
    </xf>
    <xf numFmtId="2" fontId="4" fillId="2" borderId="0" xfId="0" applyNumberFormat="1" applyFont="1" applyFill="1" applyAlignment="1">
      <alignment horizontal="center" vertical="center"/>
    </xf>
    <xf numFmtId="9" fontId="5" fillId="5" borderId="0" xfId="0" applyNumberFormat="1" applyFont="1" applyFill="1" applyAlignment="1">
      <alignment horizontal="center" vertical="center"/>
    </xf>
    <xf numFmtId="0" fontId="9" fillId="2" borderId="0" xfId="0" applyFont="1" applyFill="1" applyAlignment="1">
      <alignment horizontal="center" vertical="center"/>
    </xf>
    <xf numFmtId="0" fontId="4" fillId="0" borderId="0" xfId="0" applyFont="1"/>
    <xf numFmtId="0" fontId="4" fillId="2" borderId="0" xfId="0" applyFont="1" applyFill="1" applyAlignment="1">
      <alignment vertical="center"/>
    </xf>
    <xf numFmtId="0" fontId="11" fillId="2" borderId="0" xfId="0" applyFont="1" applyFill="1"/>
    <xf numFmtId="0" fontId="7" fillId="3" borderId="0" xfId="0" applyFont="1" applyFill="1" applyAlignment="1">
      <alignment horizontal="center" vertical="center"/>
    </xf>
    <xf numFmtId="0" fontId="0" fillId="4" borderId="0" xfId="0" applyFill="1"/>
    <xf numFmtId="0" fontId="0" fillId="2" borderId="0" xfId="0" applyFill="1" applyAlignment="1">
      <alignment horizontal="center"/>
    </xf>
    <xf numFmtId="0" fontId="0" fillId="2" borderId="0" xfId="0" applyFill="1" applyAlignment="1">
      <alignment horizontal="center" vertical="center"/>
    </xf>
    <xf numFmtId="0" fontId="5" fillId="2" borderId="0" xfId="0" applyFont="1" applyFill="1"/>
    <xf numFmtId="0" fontId="13" fillId="2" borderId="0" xfId="0" applyFont="1" applyFill="1"/>
    <xf numFmtId="0" fontId="0" fillId="6" borderId="0" xfId="0" applyFill="1" applyAlignment="1">
      <alignment horizontal="center" vertical="center"/>
    </xf>
    <xf numFmtId="2" fontId="0" fillId="4" borderId="0" xfId="0" applyNumberFormat="1" applyFill="1" applyAlignment="1">
      <alignment horizontal="center"/>
    </xf>
    <xf numFmtId="0" fontId="7" fillId="7" borderId="0" xfId="0" applyFont="1" applyFill="1" applyAlignment="1">
      <alignment horizontal="center" vertical="center"/>
    </xf>
    <xf numFmtId="0" fontId="0" fillId="7" borderId="0" xfId="0" applyFill="1" applyAlignment="1">
      <alignment horizontal="center" vertical="center"/>
    </xf>
    <xf numFmtId="0" fontId="3" fillId="7" borderId="0" xfId="0" applyFont="1" applyFill="1" applyAlignment="1">
      <alignment horizontal="center" vertical="center"/>
    </xf>
    <xf numFmtId="0" fontId="7" fillId="7" borderId="0" xfId="0" applyFont="1" applyFill="1"/>
    <xf numFmtId="2" fontId="0" fillId="2" borderId="0" xfId="0" applyNumberFormat="1" applyFill="1" applyAlignment="1">
      <alignment horizontal="center" vertical="center"/>
    </xf>
    <xf numFmtId="0" fontId="3" fillId="2" borderId="0" xfId="0" applyFont="1" applyFill="1"/>
    <xf numFmtId="0" fontId="7" fillId="7" borderId="0" xfId="0" applyFont="1" applyFill="1" applyAlignment="1">
      <alignment horizontal="left" vertical="center"/>
    </xf>
    <xf numFmtId="10" fontId="0" fillId="2" borderId="0" xfId="0" applyNumberFormat="1" applyFill="1" applyAlignment="1">
      <alignment horizontal="center" vertical="center"/>
    </xf>
    <xf numFmtId="0" fontId="7" fillId="3" borderId="8" xfId="0" applyFont="1" applyFill="1" applyBorder="1" applyAlignment="1">
      <alignment horizontal="center" vertical="center"/>
    </xf>
    <xf numFmtId="0" fontId="14" fillId="3" borderId="0" xfId="0" applyFont="1" applyFill="1" applyAlignment="1">
      <alignment horizontal="left" vertical="center"/>
    </xf>
    <xf numFmtId="0" fontId="14" fillId="3" borderId="0" xfId="0" applyFont="1" applyFill="1" applyAlignment="1">
      <alignment horizontal="center" vertical="center"/>
    </xf>
    <xf numFmtId="0" fontId="11" fillId="6" borderId="0" xfId="0" applyFont="1" applyFill="1"/>
    <xf numFmtId="0" fontId="0" fillId="0" borderId="0" xfId="0" applyAlignment="1">
      <alignment horizontal="center"/>
    </xf>
    <xf numFmtId="10" fontId="0" fillId="2" borderId="0" xfId="0" applyNumberFormat="1" applyFill="1" applyAlignment="1">
      <alignment horizontal="center"/>
    </xf>
    <xf numFmtId="2" fontId="0" fillId="2" borderId="0" xfId="0" applyNumberFormat="1" applyFill="1" applyAlignment="1">
      <alignment horizontal="center"/>
    </xf>
    <xf numFmtId="0" fontId="17" fillId="0" borderId="0" xfId="0" applyFont="1"/>
    <xf numFmtId="0" fontId="11" fillId="0" borderId="0" xfId="0" applyFont="1"/>
    <xf numFmtId="0" fontId="15" fillId="3" borderId="1" xfId="0" applyFont="1" applyFill="1" applyBorder="1" applyAlignment="1">
      <alignment horizontal="right"/>
    </xf>
    <xf numFmtId="0" fontId="20" fillId="2" borderId="0" xfId="0" applyFont="1" applyFill="1"/>
    <xf numFmtId="0" fontId="15" fillId="3" borderId="1" xfId="0" applyFont="1" applyFill="1" applyBorder="1" applyAlignment="1">
      <alignment horizontal="left"/>
    </xf>
    <xf numFmtId="0" fontId="15" fillId="3" borderId="1" xfId="0" applyFont="1" applyFill="1" applyBorder="1" applyAlignment="1">
      <alignment horizontal="center" vertical="center"/>
    </xf>
    <xf numFmtId="0" fontId="4"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21" fillId="4" borderId="1" xfId="0" applyFont="1" applyFill="1" applyBorder="1" applyAlignment="1">
      <alignment horizontal="center" vertical="center" wrapText="1"/>
    </xf>
    <xf numFmtId="0" fontId="4" fillId="0" borderId="1" xfId="0" applyFont="1" applyBorder="1" applyAlignment="1">
      <alignment horizontal="center" wrapText="1"/>
    </xf>
    <xf numFmtId="0" fontId="0" fillId="0" borderId="13" xfId="0" applyBorder="1" applyAlignment="1">
      <alignment horizontal="center"/>
    </xf>
    <xf numFmtId="0" fontId="0" fillId="0" borderId="11" xfId="0" applyBorder="1" applyAlignment="1">
      <alignment horizontal="center"/>
    </xf>
    <xf numFmtId="0" fontId="18" fillId="5" borderId="18" xfId="0" applyFont="1" applyFill="1" applyBorder="1" applyAlignment="1">
      <alignment horizontal="center"/>
    </xf>
    <xf numFmtId="0" fontId="18" fillId="5" borderId="19" xfId="0" applyFont="1" applyFill="1" applyBorder="1" applyAlignment="1">
      <alignment horizontal="center"/>
    </xf>
    <xf numFmtId="0" fontId="21" fillId="4" borderId="3" xfId="0" applyFont="1" applyFill="1" applyBorder="1" applyAlignment="1">
      <alignment vertical="center" wrapText="1"/>
    </xf>
    <xf numFmtId="0" fontId="5" fillId="5" borderId="6" xfId="0" applyFont="1" applyFill="1" applyBorder="1" applyAlignment="1">
      <alignment horizontal="center"/>
    </xf>
    <xf numFmtId="166" fontId="5" fillId="5" borderId="21" xfId="1" applyNumberFormat="1" applyFont="1" applyFill="1" applyBorder="1" applyAlignment="1">
      <alignment horizontal="center"/>
    </xf>
    <xf numFmtId="0" fontId="5" fillId="5" borderId="7" xfId="0" applyFont="1" applyFill="1" applyBorder="1" applyAlignment="1">
      <alignment horizontal="center"/>
    </xf>
    <xf numFmtId="165" fontId="5" fillId="5" borderId="0" xfId="0" applyNumberFormat="1" applyFont="1" applyFill="1" applyAlignment="1">
      <alignment horizontal="center" vertical="center"/>
    </xf>
    <xf numFmtId="9" fontId="8" fillId="5" borderId="5" xfId="0" applyNumberFormat="1" applyFont="1" applyFill="1" applyBorder="1" applyAlignment="1">
      <alignment horizontal="center"/>
    </xf>
    <xf numFmtId="9" fontId="8" fillId="5" borderId="6" xfId="0" applyNumberFormat="1" applyFont="1" applyFill="1" applyBorder="1" applyAlignment="1">
      <alignment horizontal="center"/>
    </xf>
    <xf numFmtId="0" fontId="6" fillId="2" borderId="24" xfId="0" applyFont="1" applyFill="1" applyBorder="1"/>
    <xf numFmtId="166" fontId="6" fillId="2" borderId="17" xfId="0" applyNumberFormat="1" applyFont="1" applyFill="1" applyBorder="1" applyAlignment="1">
      <alignment horizontal="center"/>
    </xf>
    <xf numFmtId="166" fontId="6" fillId="2" borderId="25" xfId="0" applyNumberFormat="1" applyFont="1" applyFill="1" applyBorder="1" applyAlignment="1">
      <alignment horizontal="center"/>
    </xf>
    <xf numFmtId="0" fontId="23" fillId="0" borderId="0" xfId="0" applyFont="1" applyAlignment="1">
      <alignment horizontal="left" vertical="center"/>
    </xf>
    <xf numFmtId="0" fontId="22" fillId="3" borderId="1" xfId="0" applyFont="1" applyFill="1" applyBorder="1" applyAlignment="1">
      <alignment horizontal="center" vertical="center" wrapText="1"/>
    </xf>
    <xf numFmtId="0" fontId="22" fillId="3" borderId="1" xfId="0" applyFont="1" applyFill="1" applyBorder="1" applyAlignment="1">
      <alignment horizontal="center" vertical="center"/>
    </xf>
    <xf numFmtId="16" fontId="0" fillId="0" borderId="1" xfId="0" applyNumberFormat="1" applyBorder="1" applyAlignment="1">
      <alignment horizontal="center" vertical="center"/>
    </xf>
    <xf numFmtId="0" fontId="0" fillId="0" borderId="1" xfId="0" applyBorder="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0" fillId="0" borderId="16" xfId="0" applyBorder="1" applyAlignment="1">
      <alignment horizontal="center"/>
    </xf>
    <xf numFmtId="0" fontId="0" fillId="0" borderId="15" xfId="0" applyBorder="1"/>
    <xf numFmtId="0" fontId="0" fillId="0" borderId="10" xfId="0" applyBorder="1"/>
    <xf numFmtId="0" fontId="18" fillId="5" borderId="20" xfId="0" applyFont="1" applyFill="1" applyBorder="1" applyAlignment="1">
      <alignment horizontal="center"/>
    </xf>
    <xf numFmtId="0" fontId="0" fillId="6" borderId="1" xfId="0" applyFill="1" applyBorder="1" applyAlignment="1">
      <alignment horizontal="center" vertical="center"/>
    </xf>
    <xf numFmtId="0" fontId="0" fillId="19" borderId="1" xfId="0" applyFill="1" applyBorder="1" applyAlignment="1">
      <alignment horizontal="center" vertical="center"/>
    </xf>
    <xf numFmtId="0" fontId="0" fillId="15" borderId="1" xfId="0" applyFill="1" applyBorder="1" applyAlignment="1">
      <alignment horizontal="center" vertical="center"/>
    </xf>
    <xf numFmtId="0" fontId="7" fillId="3" borderId="0" xfId="0" applyFont="1" applyFill="1" applyAlignment="1">
      <alignment horizontal="center" vertical="center" wrapText="1"/>
    </xf>
    <xf numFmtId="0" fontId="0" fillId="19" borderId="1" xfId="0" applyFill="1" applyBorder="1" applyAlignment="1">
      <alignment horizontal="center" vertical="center" wrapText="1"/>
    </xf>
    <xf numFmtId="0" fontId="0" fillId="0" borderId="0" xfId="0" applyAlignment="1">
      <alignment horizontal="left"/>
    </xf>
    <xf numFmtId="0" fontId="0" fillId="0" borderId="15" xfId="0" applyBorder="1" applyAlignment="1">
      <alignment horizontal="left"/>
    </xf>
    <xf numFmtId="10" fontId="5" fillId="5" borderId="0" xfId="0" applyNumberFormat="1" applyFont="1" applyFill="1" applyAlignment="1">
      <alignment horizontal="center" vertical="center"/>
    </xf>
    <xf numFmtId="166" fontId="10" fillId="2" borderId="0" xfId="0" applyNumberFormat="1" applyFont="1" applyFill="1" applyAlignment="1">
      <alignment horizontal="center" vertical="center"/>
    </xf>
    <xf numFmtId="166" fontId="5" fillId="5" borderId="0" xfId="0" applyNumberFormat="1" applyFont="1" applyFill="1" applyAlignment="1">
      <alignment horizontal="center" vertical="center"/>
    </xf>
    <xf numFmtId="9" fontId="8" fillId="5" borderId="8" xfId="0" applyNumberFormat="1" applyFont="1" applyFill="1" applyBorder="1" applyAlignment="1">
      <alignment horizontal="center"/>
    </xf>
    <xf numFmtId="2" fontId="5" fillId="5" borderId="7" xfId="0" applyNumberFormat="1" applyFont="1" applyFill="1" applyBorder="1" applyAlignment="1">
      <alignment horizontal="center" vertical="center"/>
    </xf>
    <xf numFmtId="166" fontId="6" fillId="2" borderId="0" xfId="0" applyNumberFormat="1" applyFont="1" applyFill="1" applyAlignment="1">
      <alignment horizontal="center"/>
    </xf>
    <xf numFmtId="0" fontId="7" fillId="3" borderId="0" xfId="0" applyFont="1" applyFill="1" applyAlignment="1">
      <alignment horizontal="center"/>
    </xf>
    <xf numFmtId="0" fontId="5" fillId="5" borderId="0" xfId="0" applyFont="1" applyFill="1" applyAlignment="1">
      <alignment horizontal="center"/>
    </xf>
    <xf numFmtId="9" fontId="5" fillId="5" borderId="0" xfId="0" applyNumberFormat="1" applyFont="1" applyFill="1" applyAlignment="1">
      <alignment horizontal="center"/>
    </xf>
    <xf numFmtId="0" fontId="10" fillId="2" borderId="0" xfId="0" applyFont="1" applyFill="1"/>
    <xf numFmtId="166" fontId="10" fillId="2" borderId="0" xfId="0" applyNumberFormat="1" applyFont="1" applyFill="1" applyAlignment="1">
      <alignment horizontal="center"/>
    </xf>
    <xf numFmtId="10" fontId="5" fillId="5" borderId="0" xfId="0" applyNumberFormat="1" applyFont="1" applyFill="1" applyAlignment="1">
      <alignment horizontal="center"/>
    </xf>
    <xf numFmtId="2" fontId="5" fillId="5" borderId="0" xfId="0" applyNumberFormat="1" applyFont="1" applyFill="1" applyAlignment="1">
      <alignment horizontal="center"/>
    </xf>
    <xf numFmtId="0" fontId="7" fillId="20" borderId="0" xfId="0" applyFont="1" applyFill="1" applyAlignment="1">
      <alignment horizontal="center"/>
    </xf>
    <xf numFmtId="0" fontId="24" fillId="21" borderId="0" xfId="0" applyFont="1" applyFill="1"/>
    <xf numFmtId="0" fontId="25" fillId="21" borderId="0" xfId="0" applyFont="1" applyFill="1" applyAlignment="1">
      <alignment horizontal="center"/>
    </xf>
    <xf numFmtId="2" fontId="24" fillId="21" borderId="0" xfId="0" applyNumberFormat="1" applyFont="1" applyFill="1" applyAlignment="1">
      <alignment horizontal="center"/>
    </xf>
    <xf numFmtId="10" fontId="4" fillId="0" borderId="0" xfId="1" applyNumberFormat="1" applyFont="1" applyFill="1" applyAlignment="1">
      <alignment horizontal="center"/>
    </xf>
    <xf numFmtId="10" fontId="4" fillId="0" borderId="0" xfId="1" applyNumberFormat="1" applyFont="1" applyFill="1" applyAlignment="1">
      <alignment horizontal="center" vertical="center"/>
    </xf>
    <xf numFmtId="0" fontId="4" fillId="2" borderId="0" xfId="0" applyFont="1" applyFill="1" applyAlignment="1">
      <alignment horizontal="center"/>
    </xf>
    <xf numFmtId="0" fontId="4" fillId="2" borderId="0" xfId="0" applyFont="1" applyFill="1" applyAlignment="1">
      <alignment horizontal="center" vertical="center"/>
    </xf>
    <xf numFmtId="0" fontId="24" fillId="2" borderId="0" xfId="0" applyFont="1" applyFill="1"/>
    <xf numFmtId="10" fontId="4" fillId="0" borderId="0" xfId="1" applyNumberFormat="1" applyFont="1" applyAlignment="1">
      <alignment horizontal="center" vertical="center"/>
    </xf>
    <xf numFmtId="0" fontId="25" fillId="2" borderId="0" xfId="0" applyFont="1" applyFill="1" applyAlignment="1">
      <alignment horizontal="center"/>
    </xf>
    <xf numFmtId="0" fontId="24" fillId="2" borderId="0" xfId="0" applyFont="1" applyFill="1" applyAlignment="1">
      <alignment horizontal="center"/>
    </xf>
    <xf numFmtId="10" fontId="4" fillId="2" borderId="0" xfId="1" applyNumberFormat="1" applyFont="1" applyFill="1" applyAlignment="1">
      <alignment horizontal="center"/>
    </xf>
    <xf numFmtId="10" fontId="4" fillId="2" borderId="0" xfId="1" applyNumberFormat="1" applyFont="1" applyFill="1" applyAlignment="1">
      <alignment horizontal="center" vertical="center"/>
    </xf>
    <xf numFmtId="164" fontId="4" fillId="2" borderId="0" xfId="0" applyNumberFormat="1" applyFont="1" applyFill="1"/>
    <xf numFmtId="0" fontId="26" fillId="2" borderId="0" xfId="0" applyFont="1" applyFill="1"/>
    <xf numFmtId="168" fontId="4" fillId="2" borderId="0" xfId="0" applyNumberFormat="1" applyFont="1" applyFill="1"/>
    <xf numFmtId="10" fontId="17" fillId="0" borderId="12" xfId="1" applyNumberFormat="1" applyFont="1" applyBorder="1" applyAlignment="1">
      <alignment horizontal="center"/>
    </xf>
    <xf numFmtId="10" fontId="17" fillId="0" borderId="9" xfId="1" applyNumberFormat="1" applyFont="1" applyBorder="1" applyAlignment="1">
      <alignment horizontal="center"/>
    </xf>
    <xf numFmtId="167" fontId="17" fillId="0" borderId="10" xfId="0" applyNumberFormat="1" applyFont="1" applyBorder="1" applyAlignment="1">
      <alignment horizontal="center"/>
    </xf>
    <xf numFmtId="167" fontId="17" fillId="0" borderId="0" xfId="0" applyNumberFormat="1" applyFont="1" applyAlignment="1">
      <alignment horizontal="center"/>
    </xf>
    <xf numFmtId="167" fontId="17" fillId="0" borderId="15" xfId="0" applyNumberFormat="1" applyFont="1" applyBorder="1" applyAlignment="1">
      <alignment horizontal="center"/>
    </xf>
    <xf numFmtId="169" fontId="17" fillId="0" borderId="0" xfId="0" applyNumberFormat="1" applyFont="1" applyAlignment="1">
      <alignment horizontal="center"/>
    </xf>
    <xf numFmtId="169" fontId="17" fillId="0" borderId="10" xfId="0" applyNumberFormat="1" applyFont="1" applyBorder="1" applyAlignment="1">
      <alignment horizontal="center"/>
    </xf>
    <xf numFmtId="0" fontId="28" fillId="22" borderId="0" xfId="0" applyFont="1" applyFill="1" applyAlignment="1">
      <alignment horizontal="center" wrapText="1"/>
    </xf>
    <xf numFmtId="0" fontId="0" fillId="0" borderId="19" xfId="0" applyBorder="1" applyAlignment="1">
      <alignment horizontal="left"/>
    </xf>
    <xf numFmtId="0" fontId="9" fillId="2" borderId="0" xfId="0" applyFont="1" applyFill="1" applyAlignment="1">
      <alignment horizontal="left" vertical="center"/>
    </xf>
    <xf numFmtId="0" fontId="4" fillId="2" borderId="16"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2"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7" fillId="3" borderId="0" xfId="0" applyFont="1" applyFill="1" applyAlignment="1">
      <alignment horizontal="center" vertical="center"/>
    </xf>
    <xf numFmtId="0" fontId="4" fillId="0" borderId="4" xfId="0" applyFont="1" applyBorder="1" applyAlignment="1">
      <alignment horizontal="left" vertical="top"/>
    </xf>
    <xf numFmtId="0" fontId="4" fillId="0" borderId="3" xfId="0" applyFont="1" applyBorder="1" applyAlignment="1">
      <alignment horizontal="left" vertical="top"/>
    </xf>
    <xf numFmtId="0" fontId="19" fillId="16" borderId="2" xfId="0" applyFont="1" applyFill="1" applyBorder="1" applyAlignment="1">
      <alignment horizontal="center" vertical="center"/>
    </xf>
    <xf numFmtId="0" fontId="19" fillId="16" borderId="3" xfId="0" applyFont="1" applyFill="1" applyBorder="1" applyAlignment="1">
      <alignment horizontal="center" vertical="center"/>
    </xf>
    <xf numFmtId="0" fontId="19" fillId="17" borderId="2" xfId="0" applyFont="1" applyFill="1" applyBorder="1" applyAlignment="1">
      <alignment horizontal="center" vertical="center"/>
    </xf>
    <xf numFmtId="0" fontId="19" fillId="17" borderId="3" xfId="0" applyFont="1" applyFill="1" applyBorder="1" applyAlignment="1">
      <alignment horizontal="center" vertical="center"/>
    </xf>
    <xf numFmtId="0" fontId="19" fillId="18" borderId="2" xfId="0" applyFont="1" applyFill="1" applyBorder="1" applyAlignment="1">
      <alignment horizontal="center" vertical="center"/>
    </xf>
    <xf numFmtId="0" fontId="19" fillId="18" borderId="3"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9" fontId="5" fillId="5" borderId="0" xfId="0" applyNumberFormat="1" applyFont="1" applyFill="1" applyAlignment="1">
      <alignment horizontal="center" vertical="center"/>
    </xf>
    <xf numFmtId="0" fontId="7" fillId="3" borderId="0" xfId="0" applyFont="1" applyFill="1" applyAlignment="1">
      <alignment horizontal="center"/>
    </xf>
    <xf numFmtId="0" fontId="14" fillId="3" borderId="22" xfId="0" applyFont="1" applyFill="1" applyBorder="1" applyAlignment="1">
      <alignment horizontal="center" vertical="center"/>
    </xf>
    <xf numFmtId="0" fontId="14" fillId="3" borderId="23" xfId="0" applyFont="1" applyFill="1" applyBorder="1" applyAlignment="1">
      <alignment horizontal="center" vertical="center"/>
    </xf>
    <xf numFmtId="0" fontId="16" fillId="8" borderId="13" xfId="2" applyFont="1" applyFill="1" applyBorder="1" applyAlignment="1">
      <alignment horizontal="center" vertical="center" wrapText="1"/>
    </xf>
    <xf numFmtId="0" fontId="16" fillId="8" borderId="16" xfId="2" applyFont="1" applyFill="1" applyBorder="1" applyAlignment="1">
      <alignment horizontal="center" vertical="center" wrapText="1"/>
    </xf>
    <xf numFmtId="0" fontId="16" fillId="9" borderId="13" xfId="2" applyFont="1" applyFill="1" applyBorder="1" applyAlignment="1">
      <alignment horizontal="center" vertical="center" wrapText="1"/>
    </xf>
    <xf numFmtId="0" fontId="16" fillId="11" borderId="13" xfId="2" applyFont="1" applyFill="1" applyBorder="1" applyAlignment="1">
      <alignment horizontal="center" vertical="center" wrapText="1"/>
    </xf>
    <xf numFmtId="0" fontId="22" fillId="14" borderId="13" xfId="0" applyFont="1" applyFill="1" applyBorder="1" applyAlignment="1">
      <alignment horizontal="center" vertical="center" wrapText="1"/>
    </xf>
    <xf numFmtId="0" fontId="29" fillId="10" borderId="13" xfId="2" applyFont="1" applyFill="1" applyBorder="1" applyAlignment="1">
      <alignment horizontal="center" vertical="center" wrapText="1"/>
    </xf>
    <xf numFmtId="0" fontId="29" fillId="13" borderId="13" xfId="2" applyFont="1" applyFill="1" applyBorder="1" applyAlignment="1">
      <alignment horizontal="center" vertical="center" wrapText="1"/>
    </xf>
    <xf numFmtId="0" fontId="27" fillId="12" borderId="4" xfId="2" applyFont="1" applyFill="1" applyBorder="1" applyAlignment="1">
      <alignment horizontal="center" vertical="center" wrapText="1"/>
    </xf>
  </cellXfs>
  <cellStyles count="3">
    <cellStyle name="Normal" xfId="0" builtinId="0"/>
    <cellStyle name="Normal 2 2" xfId="2" xr:uid="{9A2585CE-C146-40EA-9CC9-7D4CB83F991E}"/>
    <cellStyle name="Porcentaje" xfId="1" builtinId="5"/>
  </cellStyles>
  <dxfs count="6">
    <dxf>
      <font>
        <color theme="0"/>
      </font>
      <fill>
        <patternFill>
          <bgColor rgb="FFC00000"/>
        </patternFill>
      </fill>
    </dxf>
    <dxf>
      <fill>
        <patternFill>
          <bgColor rgb="FF92D050"/>
        </patternFill>
      </fill>
    </dxf>
    <dxf>
      <font>
        <color theme="0"/>
      </font>
      <fill>
        <patternFill>
          <bgColor rgb="FF00B0F0"/>
        </patternFill>
      </fill>
    </dxf>
    <dxf>
      <font>
        <color theme="9" tint="-0.499984740745262"/>
      </font>
      <fill>
        <patternFill>
          <bgColor theme="9" tint="0.79998168889431442"/>
        </patternFill>
      </fill>
    </dxf>
    <dxf>
      <font>
        <color theme="7" tint="-0.499984740745262"/>
      </font>
      <fill>
        <patternFill>
          <bgColor theme="7" tint="0.79998168889431442"/>
        </patternFill>
      </fill>
    </dxf>
    <dxf>
      <font>
        <color theme="5" tint="-0.499984740745262"/>
      </font>
      <fill>
        <patternFill>
          <bgColor theme="5" tint="0.79998168889431442"/>
        </patternFill>
      </fill>
    </dxf>
  </dxfs>
  <tableStyles count="0" defaultTableStyle="TableStyleMedium2" defaultPivotStyle="PivotStyleMedium9"/>
  <colors>
    <mruColors>
      <color rgb="FFE6B9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23" Type="http://schemas.openxmlformats.org/officeDocument/2006/relationships/customXml" Target="../customXml/item3.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06/relationships/rdRichValue" Target="richData/rdrichvalue.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752475</xdr:colOff>
      <xdr:row>8</xdr:row>
      <xdr:rowOff>38100</xdr:rowOff>
    </xdr:from>
    <xdr:to>
      <xdr:col>14</xdr:col>
      <xdr:colOff>276225</xdr:colOff>
      <xdr:row>32</xdr:row>
      <xdr:rowOff>170451</xdr:rowOff>
    </xdr:to>
    <xdr:pic>
      <xdr:nvPicPr>
        <xdr:cNvPr id="3" name="Imagen 2">
          <a:extLst>
            <a:ext uri="{FF2B5EF4-FFF2-40B4-BE49-F238E27FC236}">
              <a16:creationId xmlns:a16="http://schemas.microsoft.com/office/drawing/2014/main" id="{C7584188-5517-E984-CE0E-0EDB6079DDD0}"/>
            </a:ext>
          </a:extLst>
        </xdr:cNvPr>
        <xdr:cNvPicPr>
          <a:picLocks noChangeAspect="1"/>
        </xdr:cNvPicPr>
      </xdr:nvPicPr>
      <xdr:blipFill>
        <a:blip xmlns:r="http://schemas.openxmlformats.org/officeDocument/2006/relationships" r:embed="rId1"/>
        <a:stretch>
          <a:fillRect/>
        </a:stretch>
      </xdr:blipFill>
      <xdr:spPr>
        <a:xfrm>
          <a:off x="9915525" y="2143125"/>
          <a:ext cx="7581900" cy="5161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742950</xdr:colOff>
      <xdr:row>8</xdr:row>
      <xdr:rowOff>38100</xdr:rowOff>
    </xdr:from>
    <xdr:to>
      <xdr:col>15</xdr:col>
      <xdr:colOff>352425</xdr:colOff>
      <xdr:row>32</xdr:row>
      <xdr:rowOff>92050</xdr:rowOff>
    </xdr:to>
    <xdr:pic>
      <xdr:nvPicPr>
        <xdr:cNvPr id="4" name="Imagen 1">
          <a:extLst>
            <a:ext uri="{FF2B5EF4-FFF2-40B4-BE49-F238E27FC236}">
              <a16:creationId xmlns:a16="http://schemas.microsoft.com/office/drawing/2014/main" id="{9C6F8B27-132E-B8F6-A248-AA972CA7595C}"/>
            </a:ext>
          </a:extLst>
        </xdr:cNvPr>
        <xdr:cNvPicPr>
          <a:picLocks noChangeAspect="1"/>
        </xdr:cNvPicPr>
      </xdr:nvPicPr>
      <xdr:blipFill>
        <a:blip xmlns:r="http://schemas.openxmlformats.org/officeDocument/2006/relationships" r:embed="rId1"/>
        <a:stretch>
          <a:fillRect/>
        </a:stretch>
      </xdr:blipFill>
      <xdr:spPr>
        <a:xfrm>
          <a:off x="8534400" y="1828800"/>
          <a:ext cx="6943725" cy="5045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523875</xdr:colOff>
      <xdr:row>0</xdr:row>
      <xdr:rowOff>28575</xdr:rowOff>
    </xdr:from>
    <xdr:to>
      <xdr:col>31</xdr:col>
      <xdr:colOff>201362</xdr:colOff>
      <xdr:row>31</xdr:row>
      <xdr:rowOff>77113</xdr:rowOff>
    </xdr:to>
    <xdr:pic>
      <xdr:nvPicPr>
        <xdr:cNvPr id="3" name="Imagen 1">
          <a:extLst>
            <a:ext uri="{FF2B5EF4-FFF2-40B4-BE49-F238E27FC236}">
              <a16:creationId xmlns:a16="http://schemas.microsoft.com/office/drawing/2014/main" id="{BB83483F-83D8-E9D4-9386-7CCA6D494071}"/>
            </a:ext>
          </a:extLst>
        </xdr:cNvPr>
        <xdr:cNvPicPr>
          <a:picLocks noChangeAspect="1"/>
        </xdr:cNvPicPr>
      </xdr:nvPicPr>
      <xdr:blipFill>
        <a:blip xmlns:r="http://schemas.openxmlformats.org/officeDocument/2006/relationships" r:embed="rId1"/>
        <a:stretch>
          <a:fillRect/>
        </a:stretch>
      </xdr:blipFill>
      <xdr:spPr>
        <a:xfrm>
          <a:off x="10039350" y="28575"/>
          <a:ext cx="9583487" cy="65445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447675</xdr:colOff>
      <xdr:row>7</xdr:row>
      <xdr:rowOff>114300</xdr:rowOff>
    </xdr:from>
    <xdr:to>
      <xdr:col>17</xdr:col>
      <xdr:colOff>600617</xdr:colOff>
      <xdr:row>28</xdr:row>
      <xdr:rowOff>155825</xdr:rowOff>
    </xdr:to>
    <xdr:pic>
      <xdr:nvPicPr>
        <xdr:cNvPr id="3" name="Imagen 2">
          <a:extLst>
            <a:ext uri="{FF2B5EF4-FFF2-40B4-BE49-F238E27FC236}">
              <a16:creationId xmlns:a16="http://schemas.microsoft.com/office/drawing/2014/main" id="{0EC6FCAE-D836-F308-8A03-40D991CE7E9E}"/>
            </a:ext>
          </a:extLst>
        </xdr:cNvPr>
        <xdr:cNvPicPr>
          <a:picLocks noChangeAspect="1"/>
        </xdr:cNvPicPr>
      </xdr:nvPicPr>
      <xdr:blipFill>
        <a:blip xmlns:r="http://schemas.openxmlformats.org/officeDocument/2006/relationships" r:embed="rId1"/>
        <a:stretch>
          <a:fillRect/>
        </a:stretch>
      </xdr:blipFill>
      <xdr:spPr>
        <a:xfrm>
          <a:off x="6038850" y="1485900"/>
          <a:ext cx="6248942" cy="43468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IFA-SalesTraders/Shared%20Documents/Sales%20Traders/Monitores/MONITOR%20CEDEARS.xlsx" TargetMode="External"/><Relationship Id="rId2" Type="http://schemas.openxmlformats.org/officeDocument/2006/relationships/externalLinkPath" Target="https://balanzcapitalsa.sharepoint.com/sites/IFA-SalesTraders/Shared%20Documents/Sales%20Traders/Monitores/MONITOR%20CEDEARS.xlsx" TargetMode="External"/><Relationship Id="rId1" Type="http://schemas.openxmlformats.org/officeDocument/2006/relationships/externalLinkPath" Target="/sites/IFA-SalesTraders/Shared%20Documents/Sales%20Traders/Monitores/MONITOR%20CEDEA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GNIFICENT 7 - 3Q 2025  "/>
      <sheetName val="PALANTIR"/>
      <sheetName val="MAGNIFICENT 7 - 2Q 2025 "/>
      <sheetName val="MONITOR ANUAL 2024"/>
      <sheetName val="MAGNIFICENT 7 - 1Q 2025"/>
      <sheetName val="CARTERA 3Q 2025"/>
      <sheetName val="CARTERA 2Q 2025"/>
      <sheetName val="CARTERA 1Q 2025"/>
      <sheetName val="CARTERA ANUAL"/>
      <sheetName val="SECTORS"/>
      <sheetName val="Equity"/>
      <sheetName val="MAGNIFICENT 7 - 4Q 2024 "/>
      <sheetName val="MAGNIFICENT 7 - 3Q 2024 "/>
      <sheetName val="MAGNIFICENT 7 - 2Q 2024"/>
      <sheetName val="MONITOR ANUAL 2023"/>
      <sheetName val="COMMODITIES"/>
      <sheetName val="ORO-PLATA"/>
      <sheetName val="MODELO"/>
      <sheetName val="HIGH DIVIDEND"/>
      <sheetName val="GLOSARIO"/>
    </sheetNames>
    <sheetDataSet>
      <sheetData sheetId="0"/>
      <sheetData sheetId="1"/>
      <sheetData sheetId="2"/>
      <sheetData sheetId="3"/>
      <sheetData sheetId="4"/>
      <sheetData sheetId="5"/>
      <sheetData sheetId="6"/>
      <sheetData sheetId="7"/>
      <sheetData sheetId="8"/>
      <sheetData sheetId="9">
        <row r="26">
          <cell r="L26">
            <v>1525.5385684503131</v>
          </cell>
        </row>
      </sheetData>
      <sheetData sheetId="10"/>
      <sheetData sheetId="11"/>
      <sheetData sheetId="12"/>
      <sheetData sheetId="13"/>
      <sheetData sheetId="14"/>
      <sheetData sheetId="15"/>
      <sheetData sheetId="16"/>
      <sheetData sheetId="17"/>
      <sheetData sheetId="18"/>
      <sheetData sheetId="19"/>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29">
  <rv s="0">
    <v>https://www.bing.com/financeapi/forcetrigger?t=a1u3p2&amp;q=XNAS%3aGOOG&amp;form=skydnc</v>
    <v>Learn more on Bing</v>
  </rv>
  <rv s="1">
    <v>en-US</v>
    <v>a1u3p2</v>
    <v>268435456</v>
    <v>1</v>
    <v>Powered by Refinitiv</v>
    <v>0</v>
    <v>1</v>
    <v>ALPHABET INC. (XNAS:GOOG)</v>
    <v>3</v>
    <v>4</v>
    <v>Finance</v>
    <v>5</v>
    <v>330.54</v>
    <v>142.66</v>
    <v>1.0946</v>
    <v>3.39</v>
    <v>1.0513999999999999E-2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190167</v>
    <v>Nasdaq Stock Market</v>
    <v>XNAS</v>
    <v>XNAS</v>
    <v>1600 Amphitheatre Parkway, MOUNTAIN VIEW, CA, 94043 US</v>
    <v>330.54</v>
    <v>Software &amp; IT Services</v>
    <v>Stock</v>
    <v>46030.870160138278</v>
    <v>0</v>
    <v>321.99</v>
    <v>3887766000000</v>
    <v>ALPHABET INC.</v>
    <v>ALPHABET INC.</v>
    <v>329.2</v>
    <v>32.173999999999999</v>
    <v>322.43</v>
    <v>325.82</v>
    <v>12067000000</v>
    <v>GOOG</v>
    <v>ALPHABET INC. (XNAS:GOOG)</v>
    <v>17181856</v>
    <v>19963069</v>
    <v>2015</v>
  </rv>
  <rv s="2">
    <v>1</v>
  </rv>
  <rv s="0">
    <v>https://www.bing.com/financeapi/forcetrigger?t=a1nhlh&amp;q=XNAS%3aAMZN&amp;form=skydnc</v>
    <v>Learn more on Bing</v>
  </rv>
  <rv s="1">
    <v>en-US</v>
    <v>a1nhlh</v>
    <v>268435456</v>
    <v>1</v>
    <v>Powered by Refinitiv</v>
    <v>0</v>
    <v>1</v>
    <v>AMAZON.COM, INC. (XNAS:AMZN)</v>
    <v>3</v>
    <v>4</v>
    <v>Finance</v>
    <v>5</v>
    <v>258.60000000000002</v>
    <v>161.38</v>
    <v>1.3765000000000001</v>
    <v>4.5</v>
    <v>1.8629E-2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1578000</v>
    <v>Nasdaq Stock Market</v>
    <v>XNAS</v>
    <v>XNAS</v>
    <v>410 Terry Avenue North, SEATTLE, WA, 98109 US</v>
    <v>246.3</v>
    <v>Diversified Retail</v>
    <v>Stock</v>
    <v>46030.870168171095</v>
    <v>3</v>
    <v>241.88</v>
    <v>2630435533200</v>
    <v>AMAZON.COM, INC.</v>
    <v>AMAZON.COM, INC.</v>
    <v>243.1</v>
    <v>34.759099999999997</v>
    <v>241.56</v>
    <v>246.06</v>
    <v>10690220000</v>
    <v>AMZN</v>
    <v>AMAZON.COM, INC. (XNAS:AMZN)</v>
    <v>29793692</v>
    <v>37689891</v>
    <v>1996</v>
  </rv>
  <rv s="2">
    <v>4</v>
  </rv>
  <rv s="0">
    <v>https://www.bing.com/financeapi/forcetrigger?t=a1twnm&amp;q=ARCX%3aGLD&amp;form=skydnc</v>
    <v>Learn more on Bing</v>
  </rv>
  <rv s="3">
    <v>en-US</v>
    <v>a1twnm</v>
    <v>268435456</v>
    <v>1</v>
    <v>Powered by Refinitiv</v>
    <v>6</v>
    <v>7</v>
    <v>SPDR Gold (ARCX:GLD)</v>
    <v>8</v>
    <v>9</v>
    <v>Finance</v>
    <v>10</v>
    <v>418.45</v>
    <v>244.51</v>
    <v>0.80549999999999999</v>
    <v>2.16</v>
    <v>5.2780000000000006E-3</v>
    <v>USD</v>
    <v>NYSE Arca</v>
    <v>ARCX</v>
    <v>4.0000000000000001E-3</v>
    <v>411.64</v>
    <v>ETF</v>
    <v>46030.870170740622</v>
    <v>6</v>
    <v>406.4</v>
    <v>148228262258.13</v>
    <v>SPDR Gold</v>
    <v>406.66</v>
    <v>409.23</v>
    <v>411.39</v>
    <v>GLD</v>
    <v>SPDR Gold (ARCX:GLD)</v>
    <v>7946159</v>
    <v>10037224</v>
  </rv>
  <rv s="2">
    <v>7</v>
  </rv>
  <rv s="0">
    <v>https://www.bing.com/financeapi/forcetrigger?t=a24kar&amp;q=XNAS%3aTSLA&amp;form=skydnc</v>
    <v>Learn more on Bing</v>
  </rv>
  <rv s="1">
    <v>en-US</v>
    <v>a24kar</v>
    <v>268435456</v>
    <v>1</v>
    <v>Powered by Refinitiv</v>
    <v>0</v>
    <v>1</v>
    <v>TESLA, INC. (XNAS:TSLA)</v>
    <v>3</v>
    <v>4</v>
    <v>Finance</v>
    <v>5</v>
    <v>498.83</v>
    <v>214.25</v>
    <v>1.8629</v>
    <v>4</v>
    <v>9.2720000000000007E-3</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125665</v>
    <v>Nasdaq Stock Market</v>
    <v>XNAS</v>
    <v>XNAS</v>
    <v>1 Tesla Road, AUSTIN, TX, 78725 US</v>
    <v>436.89</v>
    <v>Automobiles &amp; Auto Parts</v>
    <v>Stock</v>
    <v>46030.870164397653</v>
    <v>9</v>
    <v>424.36500000000001</v>
    <v>1448094850790</v>
    <v>TESLA, INC.</v>
    <v>TESLA, INC.</v>
    <v>427.97</v>
    <v>301.88589999999999</v>
    <v>431.41</v>
    <v>435.41</v>
    <v>3325819000</v>
    <v>TSLA</v>
    <v>TESLA, INC. (XNAS:TSLA)</v>
    <v>50834904</v>
    <v>75235164</v>
    <v>2024</v>
  </rv>
  <rv s="2">
    <v>10</v>
  </rv>
  <rv s="0">
    <v>https://www.bing.com/financeapi/forcetrigger?t=a235f2&amp;q=XNAS%3aSMH&amp;form=skydnc</v>
    <v>Learn more on Bing</v>
  </rv>
  <rv s="3">
    <v>en-US</v>
    <v>a235f2</v>
    <v>268435456</v>
    <v>1</v>
    <v>Powered by Refinitiv</v>
    <v>6</v>
    <v>7</v>
    <v>VanEck:Semiconductor (XNAS:SMH)</v>
    <v>8</v>
    <v>9</v>
    <v>Finance</v>
    <v>10</v>
    <v>389.36500000000001</v>
    <v>170.11</v>
    <v>1.2741</v>
    <v>-6.32</v>
    <v>-1.6414999999999999E-2</v>
    <v>USD</v>
    <v>Nasdaq Stock Market</v>
    <v>XNAS</v>
    <v>3.4999999999999996E-3</v>
    <v>384.74</v>
    <v>ETF</v>
    <v>46030.870152904688</v>
    <v>12</v>
    <v>375.86</v>
    <v>37268474838.669998</v>
    <v>VanEck:Semiconductor</v>
    <v>384.66</v>
    <v>385.02</v>
    <v>378.7</v>
    <v>SMH</v>
    <v>VanEck:Semiconductor (XNAS:SMH)</v>
    <v>4968885</v>
    <v>5971539</v>
  </rv>
  <rv s="2">
    <v>13</v>
  </rv>
  <rv s="4">
    <v>en-US</v>
    <v>ce6doc</v>
    <v>268435456</v>
    <v>1</v>
    <v>Powered by Refinitiv</v>
    <v>11</v>
    <v>12</v>
    <v>The Select Sector SPDR Trust - The Financial Select Sector SPDR Fund (XBUE:XLFC)</v>
    <v>13</v>
    <v>14</v>
    <v>Finance</v>
    <v>15</v>
    <v>28.16</v>
    <v>25.186</v>
    <v>0.57999999999999996</v>
    <v>2.1053000000000002E-2</v>
    <v>USD</v>
    <v>The Select Sector SPDR Trust - Financial Select Sector SPDR Fund (the Trust) is an open-end management investment company. The Trust consists of eleven series, each of which represents a separate series of beneficial interests in the Trust. The series consists of the Communication Services Select Sector SPDR Fund; the Consumer Discretionary Select Sector SPDR Fund; the Consumer Staples Select Sector SPDR Fund; the Energy Select Sector SPDR Fund; the Financial Select Sector SPDR Fund; the Health Care Select Sector SPDR Fund; the Industrial Select Sector SPDR Fund; the Materials Select Sector SPDR Fund; the Real Estate Select Sector SPDR Fund; the Technology Select Sector SPDR Fund, and the Utilities Select Sector SPDR Fund.</v>
    <v>Bolsa de Comercio de Buenos Aires</v>
    <v>XBUE</v>
    <v>XBUE</v>
    <v>c/o SSgA Funds Management, Inc., acting as Investment Adviser, 1 Iron Street, BOSTON, MA, 02210 US</v>
    <v>28.16</v>
    <v>Stock</v>
    <v>46030.770856481482</v>
    <v>28.13</v>
    <v>The Select Sector SPDR Trust - The Financial Select Sector SPDR Fund</v>
    <v>The Select Sector SPDR Trust - The Financial Select Sector SPDR Fund</v>
    <v>28.15</v>
    <v>27.55</v>
    <v>28.13</v>
    <v>XLFC</v>
    <v>The Select Sector SPDR Trust - The Financial Select Sector SPDR Fund (XBUE:XLFC)</v>
    <v>17</v>
  </rv>
  <rv s="2">
    <v>15</v>
  </rv>
  <rv s="0">
    <v>https://www.bing.com/financeapi/forcetrigger?t=a267oc&amp;q=ARCX%3aXLE&amp;form=skydnc</v>
    <v>Learn more on Bing</v>
  </rv>
  <rv s="3">
    <v>en-US</v>
    <v>a267oc</v>
    <v>268435456</v>
    <v>1</v>
    <v>Powered by Refinitiv</v>
    <v>6</v>
    <v>7</v>
    <v>Sel Sector:Enrgy SS SPDR (ARCX:XLE)</v>
    <v>8</v>
    <v>9</v>
    <v>Finance</v>
    <v>10</v>
    <v>47.41</v>
    <v>37.244999999999997</v>
    <v>1.1389</v>
    <v>1.4550000000000001</v>
    <v>3.2240000000000005E-2</v>
    <v>USD</v>
    <v>NYSE Arca</v>
    <v>ARCX</v>
    <v>8.0000000000000004E-4</v>
    <v>46.85</v>
    <v>ETF</v>
    <v>46030.870167800778</v>
    <v>17</v>
    <v>45.22</v>
    <v>26484196626.900002</v>
    <v>Sel Sector:Enrgy SS SPDR</v>
    <v>45.29</v>
    <v>45.13</v>
    <v>46.585000000000001</v>
    <v>XLE</v>
    <v>Sel Sector:Enrgy SS SPDR (ARCX:XLE)</v>
    <v>44754023</v>
    <v>32151391</v>
  </rv>
  <rv s="2">
    <v>18</v>
  </rv>
  <rv s="0">
    <v>https://www.bing.com/financeapi/forcetrigger?t=a1yv52&amp;q=XNAS%3aNVDA&amp;form=skydnc</v>
    <v>Learn more on Bing</v>
  </rv>
  <rv s="1">
    <v>en-US</v>
    <v>a1yv52</v>
    <v>268435456</v>
    <v>1</v>
    <v>Powered by Refinitiv</v>
    <v>0</v>
    <v>1</v>
    <v>NVIDIA CORPORATION (XNAS:NVDA)</v>
    <v>3</v>
    <v>4</v>
    <v>Finance</v>
    <v>5</v>
    <v>212.18989999999999</v>
    <v>86.62</v>
    <v>2.3107000000000002</v>
    <v>-4.3600000000000003</v>
    <v>-2.3054999999999999E-2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189.55</v>
    <v>Semiconductors &amp; Semiconductor Equipment</v>
    <v>Stock</v>
    <v>46030.870152025003</v>
    <v>20</v>
    <v>183.71</v>
    <v>4489425000000</v>
    <v>NVIDIA CORPORATION</v>
    <v>NVIDIA CORPORATION</v>
    <v>189.11</v>
    <v>45.758499999999998</v>
    <v>189.11</v>
    <v>184.75</v>
    <v>24300000000</v>
    <v>NVDA</v>
    <v>NVIDIA CORPORATION (XNAS:NVDA)</v>
    <v>146162611</v>
    <v>164149549</v>
    <v>1998</v>
  </rv>
  <rv s="2">
    <v>21</v>
  </rv>
  <rv s="0">
    <v>https://www.bing.com/financeapi/forcetrigger?t=c4e5vh&amp;q=XNYS%3aNU&amp;form=skydnc</v>
    <v>Learn more on Bing</v>
  </rv>
  <rv s="1">
    <v>en-US</v>
    <v>c4e5vh</v>
    <v>268435456</v>
    <v>1</v>
    <v>Powered by Refinitiv</v>
    <v>0</v>
    <v>1</v>
    <v>Nu Holdings Ltd (XNYS:NU)</v>
    <v>3</v>
    <v>4</v>
    <v>Finance</v>
    <v>5</v>
    <v>18.37</v>
    <v>9.01</v>
    <v>1.0831999999999999</v>
    <v>1.4999999999999999E-2</v>
    <v>8.5709999999999996E-4</v>
    <v>USD</v>
    <v>Nu Holdings Ltd is a Brazil-based holding company, which engages in the provision of digital banking services. The Company offers its customers products across the five financial seasons: spending, saving, investing, borrowing, and protecting. Its spending solutions are designed to help customers pay for goods and services in their everyday lives with a customized credit line or instantly through a mobile phone, while collecting loyalty points and rewards on applicable transactions. Its savings solutions are designed to help customers deposit, manage, and save their money in interest-earning accounts with complementary debit cards. Its investing solutions are designed to help customers invest their money in investment products and services. Its borrowing solutions are designed to provide customers with unsecured loans that are easy to receive, manage, and pay back. Its protecting solutions are designed to help customers secure life insurance and funeral benefits.</v>
    <v>8716</v>
    <v>New York Stock Exchange</v>
    <v>XNYS</v>
    <v>XNYS</v>
    <v>Rua Capote Valente, 39, Pinheiros, SAO PAULO, SAO PAULO, 05.409-000 BR</v>
    <v>17.6236</v>
    <v>Banking Services</v>
    <v>Stock</v>
    <v>46030.870167649999</v>
    <v>23</v>
    <v>17.37</v>
    <v>84870263640</v>
    <v>Nu Holdings Ltd</v>
    <v>Nu Holdings Ltd</v>
    <v>17.59</v>
    <v>33.937199999999997</v>
    <v>17.5</v>
    <v>17.515000000000001</v>
    <v>4845576000</v>
    <v>NU</v>
    <v>Nu Holdings Ltd (XNYS:NU)</v>
    <v>25532766</v>
    <v>36168758</v>
    <v>2016</v>
  </rv>
  <rv s="2">
    <v>24</v>
  </rv>
  <rv s="0">
    <v>https://www.bing.com/financeapi/forcetrigger?t=a24kjc&amp;q=XNYS%3aTSM&amp;form=skydnc</v>
    <v>Learn more on Bing</v>
  </rv>
  <rv s="1">
    <v>en-US</v>
    <v>a24kjc</v>
    <v>268435456</v>
    <v>1</v>
    <v>Powered by Refinitiv</v>
    <v>0</v>
    <v>1</v>
    <v>Taiwan Semiconductor Manufacturing Co., Ltd. (XNYS:TSM)</v>
    <v>3</v>
    <v>4</v>
    <v>Finance</v>
    <v>5</v>
    <v>333.08</v>
    <v>134.25</v>
    <v>1.3166</v>
    <v>-0.1</v>
    <v>-3.1379999999999998E-4</v>
    <v>USD</v>
    <v>Taiwan Semiconductor Manufacturing Co Ltd is a Taiwan-based company mainly engaged in the provision of integrated circuit manufacturing services. The integrated circuit manufacturing services include process technology, special process technology, design ecosystem support, mask technology, 3DFabricTM advanced packaging and silicon stacking technology services. The Company has completed the transfer and mass production of 5nm technology, and is engaged in the research and development of 3nm process technology and 2nm process technology. The product application range covers the entire electronic application industry, including personal computers and peripheral products, information application products, wired and wireless communication system products, servers and data centers.</v>
    <v>52045</v>
    <v>New York Stock Exchange</v>
    <v>XNYS</v>
    <v>XNYS</v>
    <v>No.8, Li-Hsin 6th Road, Hsinchu Science Park, HSINCHU, HSINCHU, 300 TW</v>
    <v>324.10000000000002</v>
    <v>Semiconductors &amp; Semiconductor Equipment</v>
    <v>Stock</v>
    <v>46030.870176122655</v>
    <v>26</v>
    <v>316.14</v>
    <v>1380310000000</v>
    <v>Taiwan Semiconductor Manufacturing Co., Ltd.</v>
    <v>Taiwan Semiconductor Manufacturing Co., Ltd.</v>
    <v>324.10000000000002</v>
    <v>31.700800000000001</v>
    <v>318.68</v>
    <v>318.58</v>
    <v>5186505000</v>
    <v>TSM</v>
    <v>Taiwan Semiconductor Manufacturing Co., Ltd. (XNYS:TSM)</v>
    <v>9532111</v>
    <v>11244453</v>
    <v>1987</v>
  </rv>
  <rv s="2">
    <v>27</v>
  </rv>
  <rv s="5">
    <v>en-US</v>
    <v>ccmvww</v>
    <v>268435456</v>
    <v>1</v>
    <v>Powered by Refinitiv</v>
    <v>16</v>
    <v>17</v>
    <v>GE VERNOVA INC. (XNYS:GEV)</v>
    <v>13</v>
    <v>4</v>
    <v>Finance</v>
    <v>5</v>
    <v>731</v>
    <v>252.25</v>
    <v>1.423</v>
    <v>-31.8201</v>
    <v>-4.8042999999999995E-2</v>
    <v>USD</v>
    <v>GE Vernova Inc. is a purpose-built global energy company that includes Power, Wind, and Electrification segments and is supported by its accelerator businesses. It designs, manufactures, delivers, and services technologies to create a sustainable electric power system, enabling electrification and decarbonization. Power segment includes the design, manufacture, and servicing of gas, nuclear, hydro, and steam technologies, providing a critical foundation of dispatchable, flexible, stable, and reliable power. Wind segment includes its wind generation technologies, inclusive of onshore and offshore wind turbines and blades. Electrification segment includes grid solutions, power conversion and storage, and electrification software technologies required for the transmission, distribution, conversion, storage, and orchestration of electricity from point of generation to point of consumption. Its accelerator business includes advanced research, consulting services and financial services.</v>
    <v>75000</v>
    <v>New York Stock Exchange</v>
    <v>XNYS</v>
    <v>XNYS</v>
    <v>58 Charles Street, CAMBRIDGE, MA, 02141 US</v>
    <v>663.45</v>
    <v>Electrical Utilities &amp; IPPs</v>
    <v>Stock</v>
    <v>46030.870175775002</v>
    <v>619.96</v>
    <v>171067548117</v>
    <v>GE VERNOVA INC.</v>
    <v>GE VERNOVA INC.</v>
    <v>663.45</v>
    <v>102.70740000000001</v>
    <v>662.32</v>
    <v>630.49990000000003</v>
    <v>271320500</v>
    <v>GEV</v>
    <v>GE VERNOVA INC. (XNYS:GEV)</v>
    <v>3679880</v>
    <v>3335248</v>
    <v>2023</v>
  </rv>
  <rv s="2">
    <v>29</v>
  </rv>
  <rv s="0">
    <v>https://www.bing.com/financeapi/forcetrigger?t=a1slm7&amp;q=XNAS%3aMETA&amp;form=skydnc</v>
    <v>Learn more on Bing</v>
  </rv>
  <rv s="1">
    <v>en-US</v>
    <v>a1slm7</v>
    <v>268435456</v>
    <v>1</v>
    <v>Powered by Refinitiv</v>
    <v>0</v>
    <v>1</v>
    <v>Meta Platforms, Inc. (XNAS:META)</v>
    <v>3</v>
    <v>4</v>
    <v>Finance</v>
    <v>5</v>
    <v>796.25</v>
    <v>479.8</v>
    <v>1.2773000000000001</v>
    <v>-3.05</v>
    <v>-4.7020000000000005E-3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78450</v>
    <v>Nasdaq Stock Market</v>
    <v>XNAS</v>
    <v>XNAS</v>
    <v>1 Meta Way, MENLO PARK, CA, 94025 US</v>
    <v>647.10199999999998</v>
    <v>Software &amp; IT Services</v>
    <v>Stock</v>
    <v>46030.870144779685</v>
    <v>31</v>
    <v>635.72</v>
    <v>1627353697920</v>
    <v>Meta Platforms, Inc.</v>
    <v>Meta Platforms, Inc.</v>
    <v>645.95000000000005</v>
    <v>22.212700000000002</v>
    <v>648.69000000000005</v>
    <v>645.64</v>
    <v>2520528000</v>
    <v>META</v>
    <v>Meta Platforms, Inc. (XNAS:META)</v>
    <v>9103782</v>
    <v>14883889</v>
    <v>2004</v>
  </rv>
  <rv s="2">
    <v>32</v>
  </rv>
  <rv s="0">
    <v>https://www.bing.com/financeapi/forcetrigger?t=a24yz2&amp;q=ARCX%3aURA&amp;form=skydnc</v>
    <v>Learn more on Bing</v>
  </rv>
  <rv s="3">
    <v>en-US</v>
    <v>a24yz2</v>
    <v>268435456</v>
    <v>1</v>
    <v>Powered by Refinitiv</v>
    <v>6</v>
    <v>7</v>
    <v>Glbl X Uranium ETF (ARCX:URA)</v>
    <v>8</v>
    <v>9</v>
    <v>Finance</v>
    <v>10</v>
    <v>60.505000000000003</v>
    <v>19.5</v>
    <v>0.43099999999999999</v>
    <v>-0.32500000000000001</v>
    <v>-6.522E-3</v>
    <v>USD</v>
    <v>NYSE Arca</v>
    <v>ARCX</v>
    <v>6.8999999999999999E-3</v>
    <v>49.73</v>
    <v>ETF</v>
    <v>46030.870139351566</v>
    <v>34</v>
    <v>48.76</v>
    <v>5306268245.4899998</v>
    <v>Glbl X Uranium ETF</v>
    <v>49.49</v>
    <v>49.83</v>
    <v>49.505000000000003</v>
    <v>URA</v>
    <v>Glbl X Uranium ETF (ARCX:URA)</v>
    <v>3049469</v>
    <v>4393985</v>
  </rv>
  <rv s="2">
    <v>35</v>
  </rv>
  <rv s="0">
    <v>https://www.bing.com/financeapi/forcetrigger?t=a1xh8m&amp;q=XNAS%3aMELI&amp;form=skydnc</v>
    <v>Learn more on Bing</v>
  </rv>
  <rv s="1">
    <v>en-US</v>
    <v>a1xh8m</v>
    <v>268435456</v>
    <v>1</v>
    <v>Powered by Refinitiv</v>
    <v>0</v>
    <v>1</v>
    <v>MERCADOLIBRE, INC. (XNAS:MELI)</v>
    <v>3</v>
    <v>4</v>
    <v>Finance</v>
    <v>5</v>
    <v>2645.22</v>
    <v>1723.9032999999999</v>
    <v>1.4367000000000001</v>
    <v>21.81</v>
    <v>1.0085E-2</v>
    <v>USD</v>
    <v>MercadoLibre Inc is a Uruguay-based e-commerce business facilitator of Argentinian origins. The e-commerce products enable retail and wholesale via Internet platforms designed to provide users with a portfolio of services to facilitate commercial transactions. The Company's geographic coverage includes 18 countries of Latin America. The primary offer is an ecosystem of six integrated e-commerce services: the Mercado Libre Marketplace, the Mercado Libre Classifieds service, the Mercado Pago payments solution, the Mercado Credito financial solutions, the Mercado Envios logistic solutions including shipping, the Mercado Ads advertising platform and the Mercado Shops digital storefront solution.</v>
    <v>84207</v>
    <v>Nasdaq Stock Market</v>
    <v>XNAS</v>
    <v>XNAS</v>
    <v>WTC Free Zone, Dr. Luis Bonavita 1294, Of. 1733, Tower II, MONTEVIDEO, 11300 UY</v>
    <v>2200.6999999999998</v>
    <v>Software &amp; IT Services</v>
    <v>Stock</v>
    <v>46030.870150775001</v>
    <v>37</v>
    <v>2160.02</v>
    <v>110743933935</v>
    <v>MERCADOLIBRE, INC.</v>
    <v>MERCADOLIBRE, INC.</v>
    <v>2176.6999999999998</v>
    <v>53.319400000000002</v>
    <v>2162.61</v>
    <v>2184.42</v>
    <v>50697180</v>
    <v>MELI</v>
    <v>MERCADOLIBRE, INC. (XNAS:MELI)</v>
    <v>259536</v>
    <v>510855</v>
    <v>1999</v>
  </rv>
  <rv s="2">
    <v>38</v>
  </rv>
  <rv s="0">
    <v>https://www.bing.com/financeapi/forcetrigger?t=br185r&amp;q=XNYS%3aVIST&amp;form=skydnc</v>
    <v>Learn more on Bing</v>
  </rv>
  <rv s="1">
    <v>en-US</v>
    <v>br185r</v>
    <v>268435456</v>
    <v>1</v>
    <v>Powered by Refinitiv</v>
    <v>0</v>
    <v>1</v>
    <v>Vista Energy SAB de CV (XNYS:VIST)</v>
    <v>3</v>
    <v>4</v>
    <v>Finance</v>
    <v>5</v>
    <v>61.67</v>
    <v>31.63</v>
    <v>0.82279999999999998</v>
    <v>1.43</v>
    <v>3.2589E-2</v>
    <v>USD</v>
    <v>Vista Energy SAB de CV, formerly Vista Oil &amp; Gas SA de CV, is a Mexico-based company engaged in the energy sector. The Company focuses on the identification, acquisition and development of oil and gas fields in Latin America, primarily in Mexico, Argentina, Brazil and Colombia.</v>
    <v>564</v>
    <v>New York Stock Exchange</v>
    <v>XNYS</v>
    <v>XNYS</v>
    <v>Calle Pedregal 24, piso 4, Colonia Molino del Rey, MIGUEL HIDALGO, MEXICO, D.F., 11040 MX</v>
    <v>45.71</v>
    <v>Oil &amp; Gas</v>
    <v>Stock</v>
    <v>46030.870165080472</v>
    <v>40</v>
    <v>44.045000000000002</v>
    <v>4575363000</v>
    <v>Vista Energy SAB de CV</v>
    <v>Vista Energy SAB de CV</v>
    <v>44.35</v>
    <v>6.7012999999999998</v>
    <v>43.88</v>
    <v>45.31</v>
    <v>104256400</v>
    <v>VIST</v>
    <v>Vista Energy SAB de CV (XNYS:VIST)</v>
    <v>761724</v>
    <v>708788</v>
    <v>2017</v>
  </rv>
  <rv s="2">
    <v>41</v>
  </rv>
  <rv s="0">
    <v>https://www.bing.com/financeapi/forcetrigger?t=ays38m&amp;q=XNYS%3aCEPU&amp;form=skydnc</v>
    <v>Learn more on Bing</v>
  </rv>
  <rv s="6">
    <v>en-US</v>
    <v>ays38m</v>
    <v>268435456</v>
    <v>1</v>
    <v>Powered by Refinitiv</v>
    <v>18</v>
    <v>19</v>
    <v>Central Puerto SA (XNYS:CEPU)</v>
    <v>3</v>
    <v>20</v>
    <v>Finance</v>
    <v>5</v>
    <v>18.502800000000001</v>
    <v>7.43</v>
    <v>1.1089</v>
    <v>0.32</v>
    <v>1.9778E-2</v>
    <v>USD</v>
    <v>Central Puerto SA is an Argentina-based company pertaining to the energy sector. The purpose of the Firm is to make investments in the national and international energy market. The Company and its subsidiaries are organized in four different business units, as follows: Electric power generation from conventional sources and its sale; Electric power generation from renewable sources and its sale; Natural gas transport and distribution; Management and operations of thermal plants. The Company operates various wind farms in Argentina such as La Castellana I, Achiras I, La Castellana II, among others.</v>
    <v>New York Stock Exchange</v>
    <v>XNYS</v>
    <v>XNYS</v>
    <v>Av. Tomas Alva Edison 2701, Darsena E - Puerto de Buenos Aires, BUENOS AIRES, BUENOS AIRES, 1104 AR</v>
    <v>16.64</v>
    <v>Electrical Utilities &amp; IPPs</v>
    <v>Stock</v>
    <v>46030.870104883594</v>
    <v>43</v>
    <v>15.955</v>
    <v>2563475000</v>
    <v>Central Puerto SA</v>
    <v>Central Puerto SA</v>
    <v>16.170000000000002</v>
    <v>12.1547</v>
    <v>16.18</v>
    <v>16.5</v>
    <v>150274500</v>
    <v>CEPU</v>
    <v>Central Puerto SA (XNYS:CEPU)</v>
    <v>185025</v>
    <v>291141</v>
    <v>1992</v>
  </rv>
  <rv s="2">
    <v>44</v>
  </rv>
  <rv s="7">
    <v>en-US</v>
    <v>ce6bk2</v>
    <v>268435456</v>
    <v>1</v>
    <v>Powered by Refinitiv</v>
    <v>21</v>
    <v>22</v>
    <v>Ternium Argentina SA (XBUE:TXARC)</v>
    <v>13</v>
    <v>23</v>
    <v>Finance</v>
    <v>15</v>
    <v>0.54400000000000004</v>
    <v>0.371</v>
    <v>0.65910000000000002</v>
    <v>2.3E-2</v>
    <v>4.7521000000000008E-2</v>
    <v>USD</v>
    <v>Ternium Argentina SA, formerly Siderar SAIC, is an Argentina-based company engaged in the steel industry. The Company's activities are divided into three segments: Coated steel, Uncoated steel and Others. The Coated steel division focuses on the production of galvanized, electrogalvanized, pre-painted and tinplate steel sheets. The Uncoated steel division is responsible for the manufacture of hot and cold rolled steel. The Others division includes steel slabs, ingot castings, as well as steel overrolling. Its products are used in various industries, such as automotive, construction, industrial machinery and commercial equipment. The Company operates in North and South America. The Company's subsidiaries include Prosid Investments SCA. It is controlled by Ternium Internacional Espana SL.</v>
    <v>5100</v>
    <v>Bolsa de Comercio de Buenos Aires</v>
    <v>XBUE</v>
    <v>XBUE</v>
    <v>Av. Leandro N. Alem, 1067, BUENOS AIRES, BUENOS AIRES, 1001 AR</v>
    <v>0.50700000000000001</v>
    <v>Metals &amp; Mining</v>
    <v>Stock</v>
    <v>46030.769907407404</v>
    <v>0.49399999999999999</v>
    <v>3417182000000</v>
    <v>Ternium Argentina SA</v>
    <v>Ternium Argentina SA</v>
    <v>0.49399999999999999</v>
    <v>0.48399999999999999</v>
    <v>0.50700000000000001</v>
    <v>4517094000</v>
    <v>TXARC</v>
    <v>Ternium Argentina SA (XBUE:TXARC)</v>
    <v>7093</v>
    <v>2217570</v>
    <v>2012</v>
  </rv>
  <rv s="2">
    <v>46</v>
  </rv>
  <rv s="0">
    <v>https://www.bing.com/financeapi/forcetrigger?t=a244p2&amp;q=XNYS%3aTEO&amp;form=skydnc</v>
    <v>Learn more on Bing</v>
  </rv>
  <rv s="1">
    <v>en-US</v>
    <v>a244p2</v>
    <v>268435456</v>
    <v>1</v>
    <v>Powered by Refinitiv</v>
    <v>0</v>
    <v>1</v>
    <v>Telecom Argentina SA (XNYS:TEO)</v>
    <v>3</v>
    <v>4</v>
    <v>Finance</v>
    <v>5</v>
    <v>14.135</v>
    <v>6.2637999999999998</v>
    <v>1.1694</v>
    <v>0.23</v>
    <v>2.0664999999999999E-2</v>
    <v>USD</v>
    <v>Telecom Argentina S.A. provides fixed-line telecommunications services in Argentina, and also provides other telephone-related services, such as international long-distance service, data transmission, information technology solutions outsourcing and Internet services. The Company's segments include Fixed Telecommunications Services (Fixed Services), Personal Mobile Telecommunications Services (Personal Mobile Services) and Nucleo Mobile Telecommunications Services (Nucleo Mobile Services). The Company, through its subsidiaries, also provides mobile telecommunications services and international wholesale services. The Fixed services segment consists of basic telephone services, interconnection services, data transmission and Internet services, information and communication technology services, and other telephone services. The Company, through its subsidiaries, such as Telecom Personal S.A. and Nucleo S.A., provides mobile services in Argentina and Paraguay, respectively.</v>
    <v>19469</v>
    <v>New York Stock Exchange</v>
    <v>XNYS</v>
    <v>XNYS</v>
    <v>General Hornos 690, BUENOS AIRES, BUENOS AIRES AR</v>
    <v>11.46</v>
    <v>Telecommunications Services</v>
    <v>Stock</v>
    <v>46030.869808402342</v>
    <v>48</v>
    <v>11.185</v>
    <v>1439526000</v>
    <v>Telecom Argentina SA</v>
    <v>Telecom Argentina SA</v>
    <v>11.19</v>
    <v>5.5435999999999996</v>
    <v>11.13</v>
    <v>11.36</v>
    <v>21350</v>
    <v>TEO</v>
    <v>Telecom Argentina SA (XNYS:TEO)</v>
    <v>75127</v>
    <v>196411</v>
    <v>1990</v>
  </rv>
  <rv s="2">
    <v>49</v>
  </rv>
  <rv s="0">
    <v>https://www.bing.com/financeapi/forcetrigger?t=a23hqh&amp;q=ARCX%3aSPY&amp;form=skydnc</v>
    <v>Learn more on Bing</v>
  </rv>
  <rv s="3">
    <v>en-US</v>
    <v>a23hqh</v>
    <v>268435456</v>
    <v>1</v>
    <v>Powered by Refinitiv</v>
    <v>6</v>
    <v>7</v>
    <v>SPDR S&amp;P 500 (ARCX:SPY)</v>
    <v>8</v>
    <v>9</v>
    <v>Finance</v>
    <v>10</v>
    <v>693.96</v>
    <v>481.8</v>
    <v>0.99860000000000004</v>
    <v>-1.4999999999999999E-2</v>
    <v>-2.175E-5</v>
    <v>USD</v>
    <v>NYSE Arca</v>
    <v>ARCX</v>
    <v>8.9999999999999998E-4</v>
    <v>690.61</v>
    <v>ETF</v>
    <v>46030.870157210156</v>
    <v>51</v>
    <v>687.49</v>
    <v>712072540255.17004</v>
    <v>SPDR S&amp;P 500</v>
    <v>688.76</v>
    <v>689.58</v>
    <v>689.56500000000005</v>
    <v>SPY</v>
    <v>SPDR S&amp;P 500 (ARCX:SPY)</v>
    <v>55267274</v>
    <v>71238473</v>
  </rv>
  <rv s="2">
    <v>52</v>
  </rv>
  <rv s="0">
    <v>https://www.bing.com/financeapi/forcetrigger?t=a25927&amp;q=ARCX%3aVEA&amp;form=skydnc</v>
    <v>Learn more on Bing</v>
  </rv>
  <rv s="3">
    <v>en-US</v>
    <v>a25927</v>
    <v>268435456</v>
    <v>1</v>
    <v>Powered by Refinitiv</v>
    <v>6</v>
    <v>7</v>
    <v>Vanguard Dev Mkt;ETF (ARCX:VEA)</v>
    <v>8</v>
    <v>9</v>
    <v>Finance</v>
    <v>10</v>
    <v>64.19</v>
    <v>45.14</v>
    <v>1.0278</v>
    <v>7.4999999999999997E-2</v>
    <v>1.1740000000000001E-3</v>
    <v>USD</v>
    <v>NYSE Arca</v>
    <v>ARCX</v>
    <v>2.9999999999999997E-4</v>
    <v>63.954999999999998</v>
    <v>ETF</v>
    <v>46030.87017685156</v>
    <v>54</v>
    <v>63.68</v>
    <v>193186565457.14999</v>
    <v>Vanguard Dev Mkt;ETF</v>
    <v>63.7</v>
    <v>63.88</v>
    <v>63.954999999999998</v>
    <v>VEA</v>
    <v>Vanguard Dev Mkt;ETF (ARCX:VEA)</v>
    <v>14390673</v>
    <v>17136906</v>
  </rv>
  <rv s="2">
    <v>55</v>
  </rv>
  <rv s="0">
    <v>https://www.bing.com/financeapi/forcetrigger?t=a1rour&amp;q=ARCX%3aEEM&amp;form=skydnc</v>
    <v>Learn more on Bing</v>
  </rv>
  <rv s="3">
    <v>en-US</v>
    <v>a1rour</v>
    <v>268435456</v>
    <v>1</v>
    <v>Powered by Refinitiv</v>
    <v>6</v>
    <v>7</v>
    <v>iShares:MSCI Em Mkts (ARCX:EEM)</v>
    <v>8</v>
    <v>9</v>
    <v>Finance</v>
    <v>10</v>
    <v>57.43</v>
    <v>38.19</v>
    <v>0.97729999999999995</v>
    <v>0.03</v>
    <v>5.2769999999999998E-4</v>
    <v>USD</v>
    <v>NYSE Arca</v>
    <v>ARCX</v>
    <v>7.1999999999999998E-3</v>
    <v>56.89</v>
    <v>ETF</v>
    <v>46030.870167939065</v>
    <v>57</v>
    <v>56.62</v>
    <v>21102726093.459999</v>
    <v>iShares:MSCI Em Mkts</v>
    <v>56.75</v>
    <v>56.85</v>
    <v>56.88</v>
    <v>EEM</v>
    <v>iShares:MSCI Em Mkts (ARCX:EEM)</v>
    <v>25543248</v>
    <v>25343722</v>
  </rv>
  <rv s="2">
    <v>58</v>
  </rv>
  <rv s="0">
    <v>https://www.bing.com/financeapi/forcetrigger?t=a1sh52&amp;q=ARCX%3aEWZ&amp;form=skydnc</v>
    <v>Learn more on Bing</v>
  </rv>
  <rv s="3">
    <v>en-US</v>
    <v>a1sh52</v>
    <v>268435456</v>
    <v>1</v>
    <v>Powered by Refinitiv</v>
    <v>6</v>
    <v>7</v>
    <v>iShares:MSCI Brazil (ARCX:EWZ)</v>
    <v>8</v>
    <v>9</v>
    <v>Finance</v>
    <v>10</v>
    <v>34.799999999999997</v>
    <v>22.61</v>
    <v>1.1206</v>
    <v>0.185</v>
    <v>5.6569999999999997E-3</v>
    <v>USD</v>
    <v>NYSE Arca</v>
    <v>ARCX</v>
    <v>5.8999999999999999E-3</v>
    <v>32.909999999999997</v>
    <v>ETF</v>
    <v>46030.870148575785</v>
    <v>60</v>
    <v>32.725000000000001</v>
    <v>6662084463.9099998</v>
    <v>iShares:MSCI Brazil</v>
    <v>32.770000000000003</v>
    <v>32.700000000000003</v>
    <v>32.884999999999998</v>
    <v>EWZ</v>
    <v>iShares:MSCI Brazil (ARCX:EWZ)</v>
    <v>16458150</v>
    <v>33818601</v>
  </rv>
  <rv s="2">
    <v>61</v>
  </rv>
  <rv s="0">
    <v>https://www.bing.com/financeapi/forcetrigger?t=a267zr&amp;q=ARCX%3aXLK&amp;form=skydnc</v>
    <v>Learn more on Bing</v>
  </rv>
  <rv s="3">
    <v>en-US</v>
    <v>a267zr</v>
    <v>268435456</v>
    <v>1</v>
    <v>Powered by Refinitiv</v>
    <v>6</v>
    <v>7</v>
    <v>Sel Sector:Tech SPDR (ARCX:XLK)</v>
    <v>8</v>
    <v>9</v>
    <v>Finance</v>
    <v>10</v>
    <v>152.995</v>
    <v>86.224999999999994</v>
    <v>0.96830000000000005</v>
    <v>-2.3199999999999998</v>
    <v>-1.5833E-2</v>
    <v>USD</v>
    <v>NYSE Arca</v>
    <v>ARCX</v>
    <v>8.0000000000000004E-4</v>
    <v>145.93</v>
    <v>ETF</v>
    <v>46030.870173356248</v>
    <v>63</v>
    <v>143.5</v>
    <v>92476674085.580002</v>
    <v>Sel Sector:Tech SPDR</v>
    <v>145.78</v>
    <v>146.53</v>
    <v>144.21</v>
    <v>XLK</v>
    <v>Sel Sector:Tech SPDR (ARCX:XLK)</v>
    <v>15252107</v>
    <v>10870468</v>
  </rv>
  <rv s="2">
    <v>64</v>
  </rv>
  <rv s="0">
    <v>https://www.bing.com/financeapi/forcetrigger?t=a267r7&amp;q=ARCX%3aXLF&amp;form=skydnc</v>
    <v>Learn more on Bing</v>
  </rv>
  <rv s="3">
    <v>en-US</v>
    <v>a267r7</v>
    <v>268435456</v>
    <v>1</v>
    <v>Powered by Refinitiv</v>
    <v>6</v>
    <v>7</v>
    <v>Sel Sector:Fin SS SPDR I (ARCX:XLF)</v>
    <v>8</v>
    <v>9</v>
    <v>Finance</v>
    <v>10</v>
    <v>56.515000000000001</v>
    <v>42.21</v>
    <v>0.99790000000000001</v>
    <v>0.34499999999999997</v>
    <v>6.2039999999999994E-3</v>
    <v>USD</v>
    <v>NYSE Arca</v>
    <v>ARCX</v>
    <v>8.0000000000000004E-4</v>
    <v>56.25</v>
    <v>ETF</v>
    <v>46030.870139628903</v>
    <v>66</v>
    <v>55.41</v>
    <v>53106023489.790001</v>
    <v>Sel Sector:Fin SS SPDR I</v>
    <v>55.45</v>
    <v>55.61</v>
    <v>55.954999999999998</v>
    <v>XLF</v>
    <v>Sel Sector:Fin SS SPDR I (ARCX:XLF)</v>
    <v>29955836</v>
    <v>36343271</v>
  </rv>
  <rv s="2">
    <v>67</v>
  </rv>
  <rv s="0">
    <v>https://www.bing.com/financeapi/forcetrigger?t=b1hbp2&amp;q=ARCX%3aXLC&amp;form=skydnc</v>
    <v>Learn more on Bing</v>
  </rv>
  <rv s="3">
    <v>en-US</v>
    <v>b1hbp2</v>
    <v>268435456</v>
    <v>1</v>
    <v>Powered by Refinitiv</v>
    <v>6</v>
    <v>7</v>
    <v>Sel Sctr:ComS SS SPDR (ARCX:XLC)</v>
    <v>8</v>
    <v>9</v>
    <v>Finance</v>
    <v>10</v>
    <v>119.55</v>
    <v>84.02</v>
    <v>1.02</v>
    <v>0.38</v>
    <v>3.2450000000000001E-3</v>
    <v>USD</v>
    <v>NYSE Arca</v>
    <v>ARCX</v>
    <v>8.0000000000000004E-4</v>
    <v>117.66</v>
    <v>ETF</v>
    <v>46030.870092152341</v>
    <v>69</v>
    <v>116.54</v>
    <v>27152742348.919998</v>
    <v>Sel Sctr:ComS SS SPDR</v>
    <v>117.28</v>
    <v>117.09</v>
    <v>117.47</v>
    <v>XLC</v>
    <v>Sel Sctr:ComS SS SPDR (ARCX:XLC)</v>
    <v>4313384</v>
    <v>5064144</v>
  </rv>
  <rv s="2">
    <v>70</v>
  </rv>
  <rv s="0">
    <v>https://www.bing.com/financeapi/forcetrigger?t=a268hw&amp;q=ARCX%3aXLV&amp;form=skydnc</v>
    <v>Learn more on Bing</v>
  </rv>
  <rv s="3">
    <v>en-US</v>
    <v>a268hw</v>
    <v>268435456</v>
    <v>1</v>
    <v>Powered by Refinitiv</v>
    <v>6</v>
    <v>7</v>
    <v>Sel Sector:HC SS SPDR (ARCX:XLV)</v>
    <v>8</v>
    <v>9</v>
    <v>Finance</v>
    <v>10</v>
    <v>160.59</v>
    <v>127.35</v>
    <v>0.99819999999999998</v>
    <v>-1.19</v>
    <v>-7.4529999999999996E-3</v>
    <v>USD</v>
    <v>NYSE Arca</v>
    <v>ARCX</v>
    <v>8.0000000000000004E-4</v>
    <v>160.5</v>
    <v>ETF</v>
    <v>46030.870150150004</v>
    <v>72</v>
    <v>157.60499999999999</v>
    <v>39711711249.769997</v>
    <v>Sel Sector:HC SS SPDR</v>
    <v>159.5</v>
    <v>159.66</v>
    <v>158.47</v>
    <v>XLV</v>
    <v>Sel Sector:HC SS SPDR (ARCX:XLV)</v>
    <v>14419221</v>
    <v>10763913</v>
  </rv>
  <rv s="2">
    <v>73</v>
  </rv>
  <rv s="0">
    <v>https://www.bing.com/financeapi/forcetrigger?t=a268kr&amp;q=ARCX%3aXLY&amp;form=skydnc</v>
    <v>Learn more on Bing</v>
  </rv>
  <rv s="3">
    <v>en-US</v>
    <v>a268kr</v>
    <v>268435456</v>
    <v>1</v>
    <v>Powered by Refinitiv</v>
    <v>6</v>
    <v>7</v>
    <v>Sel Sctr:C D SS SPDR In (ARCX:XLY)</v>
    <v>8</v>
    <v>9</v>
    <v>Finance</v>
    <v>10</v>
    <v>123.63</v>
    <v>86.5501</v>
    <v>0.95530000000000004</v>
    <v>1.9</v>
    <v>1.5715E-2</v>
    <v>USD</v>
    <v>NYSE Arca</v>
    <v>ARCX</v>
    <v>8.0000000000000004E-4</v>
    <v>123.14</v>
    <v>ETF</v>
    <v>46030.870159247657</v>
    <v>75</v>
    <v>120.42</v>
    <v>24344366508.68</v>
    <v>Sel Sctr:C D SS SPDR In</v>
    <v>120.56</v>
    <v>120.9</v>
    <v>122.8</v>
    <v>XLY</v>
    <v>Sel Sctr:C D SS SPDR In (ARCX:XLY)</v>
    <v>11544618</v>
    <v>9200085</v>
  </rv>
  <rv s="2">
    <v>76</v>
  </rv>
  <rv s="0">
    <v>https://www.bing.com/financeapi/forcetrigger?t=a2686h&amp;q=ARCX%3aXLP&amp;form=skydnc</v>
    <v>Learn more on Bing</v>
  </rv>
  <rv s="3">
    <v>en-US</v>
    <v>a2686h</v>
    <v>268435456</v>
    <v>1</v>
    <v>Powered by Refinitiv</v>
    <v>6</v>
    <v>7</v>
    <v>Sel Sector:C SSS SPDR I (ARCX:XLP)</v>
    <v>8</v>
    <v>9</v>
    <v>Finance</v>
    <v>10</v>
    <v>84.35</v>
    <v>75.16</v>
    <v>0.96340000000000003</v>
    <v>1.835</v>
    <v>2.3948999999999998E-2</v>
    <v>USD</v>
    <v>NYSE Arca</v>
    <v>ARCX</v>
    <v>8.0000000000000004E-4</v>
    <v>78.73</v>
    <v>ETF</v>
    <v>46030.870150937502</v>
    <v>78</v>
    <v>76.510000000000005</v>
    <v>14695329466.27</v>
    <v>Sel Sector:C SSS SPDR I</v>
    <v>76.58</v>
    <v>76.62</v>
    <v>78.454999999999998</v>
    <v>XLP</v>
    <v>Sel Sector:C SSS SPDR I (ARCX:XLP)</v>
    <v>22430323</v>
    <v>13248758</v>
  </rv>
  <rv s="2">
    <v>79</v>
  </rv>
  <rv s="0">
    <v>https://www.bing.com/financeapi/forcetrigger?t=a2689c&amp;q=ARCX%3aXLRE&amp;form=skydnc</v>
    <v>Learn more on Bing</v>
  </rv>
  <rv s="3">
    <v>en-US</v>
    <v>a2689c</v>
    <v>268435456</v>
    <v>1</v>
    <v>Powered by Refinitiv</v>
    <v>6</v>
    <v>7</v>
    <v>Sel Sector:RE SS SPDR In (ARCX:XLRE)</v>
    <v>8</v>
    <v>9</v>
    <v>Finance</v>
    <v>10</v>
    <v>43.8613</v>
    <v>35.76</v>
    <v>1.0216000000000001</v>
    <v>0.33500000000000002</v>
    <v>8.3459999999999993E-3</v>
    <v>USD</v>
    <v>NYSE Arca</v>
    <v>ARCX</v>
    <v>8.0000000000000004E-4</v>
    <v>40.634999999999998</v>
    <v>ETF</v>
    <v>46030.870165728906</v>
    <v>81</v>
    <v>39.9</v>
    <v>7383935410.5500002</v>
    <v>Sel Sector:RE SS SPDR In</v>
    <v>39.979999999999997</v>
    <v>40.14</v>
    <v>40.475000000000001</v>
    <v>XLRE</v>
    <v>Sel Sector:RE SS SPDR In (ARCX:XLRE)</v>
    <v>8014779</v>
    <v>7723393</v>
  </rv>
  <rv s="2">
    <v>82</v>
  </rv>
  <rv s="0">
    <v>https://www.bing.com/financeapi/forcetrigger?t=a267ww&amp;q=ARCX%3aXLI&amp;form=skydnc</v>
    <v>Learn more on Bing</v>
  </rv>
  <rv s="3">
    <v>en-US</v>
    <v>a267ww</v>
    <v>268435456</v>
    <v>1</v>
    <v>Powered by Refinitiv</v>
    <v>6</v>
    <v>7</v>
    <v>Sel Sector:Ind SS SPDR (ARCX:XLI)</v>
    <v>8</v>
    <v>9</v>
    <v>Finance</v>
    <v>10</v>
    <v>162.6</v>
    <v>112.75</v>
    <v>0.99990000000000001</v>
    <v>1.175</v>
    <v>7.391E-3</v>
    <v>USD</v>
    <v>NYSE Arca</v>
    <v>ARCX</v>
    <v>8.0000000000000004E-4</v>
    <v>161.36000000000001</v>
    <v>ETF</v>
    <v>46030.870168622656</v>
    <v>84</v>
    <v>159.76</v>
    <v>25553089964.849998</v>
    <v>Sel Sector:Ind SS SPDR</v>
    <v>159.92500000000001</v>
    <v>158.97</v>
    <v>160.14500000000001</v>
    <v>XLI</v>
    <v>Sel Sector:Ind SS SPDR (ARCX:XLI)</v>
    <v>10733720</v>
    <v>8634961</v>
  </rv>
  <rv s="2">
    <v>85</v>
  </rv>
  <rv s="0">
    <v>https://www.bing.com/financeapi/forcetrigger?t=a268f2&amp;q=ARCX%3aXLU&amp;form=skydnc</v>
    <v>Learn more on Bing</v>
  </rv>
  <rv s="3">
    <v>en-US</v>
    <v>a268f2</v>
    <v>268435456</v>
    <v>1</v>
    <v>Powered by Refinitiv</v>
    <v>6</v>
    <v>7</v>
    <v>Sel Sector:Utl SS SPDR (ARCX:XLU)</v>
    <v>8</v>
    <v>9</v>
    <v>Finance</v>
    <v>10</v>
    <v>46.884999999999998</v>
    <v>35.51</v>
    <v>0.99719999999999998</v>
    <v>0.13500000000000001</v>
    <v>3.2240000000000003E-3</v>
    <v>USD</v>
    <v>NYSE Arca</v>
    <v>ARCX</v>
    <v>8.0000000000000004E-4</v>
    <v>42.29</v>
    <v>ETF</v>
    <v>46030.870158101563</v>
    <v>87</v>
    <v>41.81</v>
    <v>21765248010.889999</v>
    <v>Sel Sector:Utl SS SPDR</v>
    <v>41.81</v>
    <v>41.87</v>
    <v>42.005000000000003</v>
    <v>XLU</v>
    <v>Sel Sector:Utl SS SPDR (ARCX:XLU)</v>
    <v>20114635</v>
    <v>18216210</v>
  </rv>
  <rv s="2">
    <v>88</v>
  </rv>
  <rv s="0">
    <v>https://www.bing.com/financeapi/forcetrigger?t=a267lh&amp;q=ARCX%3aXLB&amp;form=skydnc</v>
    <v>Learn more on Bing</v>
  </rv>
  <rv s="3">
    <v>en-US</v>
    <v>a267lh</v>
    <v>268435456</v>
    <v>1</v>
    <v>Powered by Refinitiv</v>
    <v>6</v>
    <v>7</v>
    <v>Sel Sector:Mat SS SPDR (ARCX:XLB)</v>
    <v>8</v>
    <v>9</v>
    <v>Finance</v>
    <v>10</v>
    <v>47.63</v>
    <v>36.56</v>
    <v>0.99219999999999997</v>
    <v>0.81499999999999995</v>
    <v>1.7458999999999999E-2</v>
    <v>USD</v>
    <v>NYSE Arca</v>
    <v>ARCX</v>
    <v>8.0000000000000004E-4</v>
    <v>47.6265</v>
    <v>ETF</v>
    <v>46030.870164988279</v>
    <v>90</v>
    <v>46.27</v>
    <v>5357776979.5200005</v>
    <v>Sel Sector:Mat SS SPDR</v>
    <v>46.42</v>
    <v>46.68</v>
    <v>47.494999999999997</v>
    <v>XLB</v>
    <v>Sel Sector:Mat SS SPDR (ARCX:XLB)</v>
    <v>11404253</v>
    <v>10608507</v>
  </rv>
  <rv s="2">
    <v>91</v>
  </rv>
  <rv s="0">
    <v>https://www.bing.com/financeapi/forcetrigger?t=a21mim&amp;q=XNAS%3aQQQ&amp;form=skydnc</v>
    <v>Learn more on Bing</v>
  </rv>
  <rv s="3">
    <v>en-US</v>
    <v>a21mim</v>
    <v>268435456</v>
    <v>1</v>
    <v>Powered by Refinitiv</v>
    <v>6</v>
    <v>7</v>
    <v>Invesco QQQ Trust 1 (XNAS:QQQ)</v>
    <v>8</v>
    <v>9</v>
    <v>Finance</v>
    <v>10</v>
    <v>637.01</v>
    <v>402.39</v>
    <v>1.0104</v>
    <v>-3.64</v>
    <v>-5.8330000000000005E-3</v>
    <v>USD</v>
    <v>Nasdaq Stock Market</v>
    <v>XNAS</v>
    <v>2E-3</v>
    <v>623.41999999999996</v>
    <v>ETF</v>
    <v>46030.870157245314</v>
    <v>93</v>
    <v>617.79999999999995</v>
    <v>407171619195.83002</v>
    <v>Invesco QQQ Trust 1</v>
    <v>623.04</v>
    <v>624.02</v>
    <v>620.38</v>
    <v>QQQ</v>
    <v>Invesco QQQ Trust 1 (XNAS:QQQ)</v>
    <v>46119540</v>
    <v>48805069</v>
  </rv>
  <rv s="2">
    <v>94</v>
  </rv>
  <rv s="0">
    <v>https://www.bing.com/financeapi/forcetrigger?t=a1r2c7&amp;q=ARCX%3aDIA&amp;form=skydnc</v>
    <v>Learn more on Bing</v>
  </rv>
  <rv s="3">
    <v>en-US</v>
    <v>a1r2c7</v>
    <v>268435456</v>
    <v>1</v>
    <v>Powered by Refinitiv</v>
    <v>6</v>
    <v>7</v>
    <v>SPDR Dow Jones Indus Avg (ARCX:DIA)</v>
    <v>8</v>
    <v>9</v>
    <v>Finance</v>
    <v>10</v>
    <v>496.25</v>
    <v>366.32</v>
    <v>0.8891</v>
    <v>2.79</v>
    <v>5.6940000000000003E-3</v>
    <v>USD</v>
    <v>NYSE Arca</v>
    <v>ARCX</v>
    <v>1.6000000000000001E-3</v>
    <v>493.51990000000001</v>
    <v>ETF</v>
    <v>46030.870144096873</v>
    <v>96</v>
    <v>487.81</v>
    <v>44441009524.029999</v>
    <v>SPDR Dow Jones Indus Avg</v>
    <v>487.82</v>
    <v>489.96</v>
    <v>492.75</v>
    <v>DIA</v>
    <v>SPDR Dow Jones Indus Avg (ARCX:DIA)</v>
    <v>5757257</v>
    <v>4582898</v>
  </rv>
  <rv s="2">
    <v>97</v>
  </rv>
  <rv s="0">
    <v>https://www.bing.com/financeapi/forcetrigger?t=a1vxfr&amp;q=ARCX%3aIWM&amp;form=skydnc</v>
    <v>Learn more on Bing</v>
  </rv>
  <rv s="3">
    <v>en-US</v>
    <v>a1vxfr</v>
    <v>268435456</v>
    <v>1</v>
    <v>Powered by Refinitiv</v>
    <v>6</v>
    <v>7</v>
    <v>iShares:Russ 2000 ETF (ARCX:IWM)</v>
    <v>8</v>
    <v>9</v>
    <v>Finance</v>
    <v>10</v>
    <v>258.93</v>
    <v>171.73</v>
    <v>0.99919999999999998</v>
    <v>2.82</v>
    <v>1.1037999999999999E-2</v>
    <v>USD</v>
    <v>NYSE Arca</v>
    <v>ARCX</v>
    <v>1.9E-3</v>
    <v>258.93</v>
    <v>ETF</v>
    <v>46030.870174664065</v>
    <v>99</v>
    <v>254.36</v>
    <v>73744365571.210007</v>
    <v>iShares:Russ 2000 ETF</v>
    <v>254.63</v>
    <v>255.48</v>
    <v>258.3</v>
    <v>IWM</v>
    <v>iShares:Russ 2000 ETF (ARCX:IWM)</v>
    <v>34211035</v>
    <v>35490205</v>
  </rv>
  <rv s="2">
    <v>100</v>
  </rv>
  <rv s="0">
    <v>https://www.bing.com/financeapi/forcetrigger?t=a1vx4c&amp;q=ARCX%3aIWC&amp;form=skydnc</v>
    <v>Learn more on Bing</v>
  </rv>
  <rv s="3">
    <v>en-US</v>
    <v>a1vx4c</v>
    <v>268435456</v>
    <v>1</v>
    <v>Powered by Refinitiv</v>
    <v>6</v>
    <v>7</v>
    <v>iShares:Micro-Cap (ARCX:IWC)</v>
    <v>8</v>
    <v>9</v>
    <v>Finance</v>
    <v>10</v>
    <v>166.98</v>
    <v>95.250100000000003</v>
    <v>1.0942000000000001</v>
    <v>1.0549999999999999</v>
    <v>6.43E-3</v>
    <v>USD</v>
    <v>NYSE Arca</v>
    <v>ARCX</v>
    <v>6.0000000000000001E-3</v>
    <v>165.55</v>
    <v>ETF</v>
    <v>46030.870136527345</v>
    <v>102</v>
    <v>163.38</v>
    <v>1088829669.0999999</v>
    <v>iShares:Micro-Cap</v>
    <v>164.34</v>
    <v>164.08</v>
    <v>165.13499999999999</v>
    <v>IWC</v>
    <v>iShares:Micro-Cap (ARCX:IWC)</v>
    <v>139027</v>
    <v>81243</v>
  </rv>
  <rv s="2">
    <v>103</v>
  </rv>
  <rv s="0">
    <v>https://www.bing.com/financeapi/forcetrigger?t=a1mupr&amp;q=XNAS%3aACWI&amp;form=skydnc</v>
    <v>Learn more on Bing</v>
  </rv>
  <rv s="3">
    <v>en-US</v>
    <v>a1mupr</v>
    <v>268435456</v>
    <v>1</v>
    <v>Powered by Refinitiv</v>
    <v>6</v>
    <v>7</v>
    <v>iShares:MSCI ACWI (XNAS:ACWI)</v>
    <v>8</v>
    <v>9</v>
    <v>Finance</v>
    <v>10</v>
    <v>144.69999999999999</v>
    <v>101.25</v>
    <v>1.0087999999999999</v>
    <v>4.4999999999999998E-2</v>
    <v>3.1289999999999996E-4</v>
    <v>USD</v>
    <v>Nasdaq Stock Market</v>
    <v>XNAS</v>
    <v>3.0999999999999999E-3</v>
    <v>143.905</v>
    <v>ETF</v>
    <v>46030.870139536717</v>
    <v>105</v>
    <v>143.31</v>
    <v>25207222852.68</v>
    <v>iShares:MSCI ACWI</v>
    <v>143.43</v>
    <v>143.81</v>
    <v>143.85499999999999</v>
    <v>ACWI</v>
    <v>iShares:MSCI ACWI (XNAS:ACWI)</v>
    <v>7150962</v>
    <v>3750403</v>
  </rv>
  <rv s="2">
    <v>106</v>
  </rv>
  <rv s="0">
    <v>https://www.bing.com/financeapi/forcetrigger?t=a1nplh&amp;q=ARCX%3aARGT&amp;form=skydnc</v>
    <v>Learn more on Bing</v>
  </rv>
  <rv s="3">
    <v>en-US</v>
    <v>a1nplh</v>
    <v>268435456</v>
    <v>1</v>
    <v>Powered by Refinitiv</v>
    <v>6</v>
    <v>7</v>
    <v>Glbl X MSCI Argnt ETF (ARCX:ARGT)</v>
    <v>8</v>
    <v>9</v>
    <v>Finance</v>
    <v>10</v>
    <v>96.580299999999994</v>
    <v>66.489999999999995</v>
    <v>1.3225</v>
    <v>2.2599999999999998</v>
    <v>2.4632000000000001E-2</v>
    <v>USD</v>
    <v>NYSE Arca</v>
    <v>ARCX</v>
    <v>5.8999999999999999E-3</v>
    <v>94.01</v>
    <v>ETF</v>
    <v>46030.870053240622</v>
    <v>108</v>
    <v>91.22</v>
    <v>757691774.14999998</v>
    <v>Glbl X MSCI Argnt ETF</v>
    <v>91.62</v>
    <v>91.75</v>
    <v>94.01</v>
    <v>ARGT</v>
    <v>Glbl X MSCI Argnt ETF (ARCX:ARGT)</v>
    <v>176845</v>
    <v>162337</v>
  </rv>
  <rv s="2">
    <v>109</v>
  </rv>
  <rv s="0">
    <v>https://www.bing.com/financeapi/forcetrigger?t=aqj9c7&amp;q=SP+MERVAL&amp;form=skydnc</v>
    <v>Learn more on Bing</v>
  </rv>
  <rv s="8">
    <v>en-US</v>
    <v>aqj9c7</v>
    <v>268435456</v>
    <v>1</v>
    <v>1</v>
    <v>Powered by Refinitiv</v>
    <v>24</v>
    <v>SP MERVAL</v>
    <v>8</v>
    <v>25</v>
    <v>Finance</v>
    <v>26</v>
    <v>3195427.77</v>
    <v>1635451.36</v>
    <v>60922.39</v>
    <v>2.0213000000000002E-2</v>
    <v>AR</v>
    <v>3078958.27</v>
    <v>Index</v>
    <v>111</v>
    <v>2980492.24</v>
    <v>SP MERVAL</v>
    <v>3013957.34</v>
    <v>3013957.34</v>
    <v>3074879.73</v>
    <v>MERV</v>
    <v>SP MERVAL</v>
  </rv>
  <rv s="2">
    <v>112</v>
  </rv>
  <rv s="0">
    <v>https://www.bing.com/financeapi/forcetrigger?t=a1vbvh&amp;q=ARCX%3aIEUR&amp;form=skydnc</v>
    <v>Learn more on Bing</v>
  </rv>
  <rv s="3">
    <v>en-US</v>
    <v>a1vbvh</v>
    <v>268435456</v>
    <v>1</v>
    <v>Powered by Refinitiv</v>
    <v>6</v>
    <v>7</v>
    <v>iShares:Core MSCI Europe (ARCX:IEUR)</v>
    <v>8</v>
    <v>9</v>
    <v>Finance</v>
    <v>10</v>
    <v>72.599999999999994</v>
    <v>53.17</v>
    <v>1.0195000000000001</v>
    <v>7.0000000000000007E-2</v>
    <v>9.6900000000000003E-4</v>
    <v>USD</v>
    <v>NYSE Arca</v>
    <v>ARCX</v>
    <v>1E-3</v>
    <v>72.31</v>
    <v>ETF</v>
    <v>46030.870142383596</v>
    <v>114</v>
    <v>71.959999999999994</v>
    <v>7019851293.7200003</v>
    <v>iShares:Core MSCI Europe</v>
    <v>71.97</v>
    <v>72.239999999999995</v>
    <v>72.31</v>
    <v>IEUR</v>
    <v>iShares:Core MSCI Europe (ARCX:IEUR)</v>
    <v>2723814</v>
    <v>1084042</v>
  </rv>
  <rv s="2">
    <v>115</v>
  </rv>
  <rv s="0">
    <v>https://www.bing.com/financeapi/forcetrigger?t=a1tkf2&amp;q=ARCX%3aFXI&amp;form=skydnc</v>
    <v>Learn more on Bing</v>
  </rv>
  <rv s="3">
    <v>en-US</v>
    <v>a1tkf2</v>
    <v>268435456</v>
    <v>1</v>
    <v>Powered by Refinitiv</v>
    <v>6</v>
    <v>7</v>
    <v>iShares:China Large Cp (ARCX:FXI)</v>
    <v>8</v>
    <v>9</v>
    <v>Finance</v>
    <v>10</v>
    <v>42</v>
    <v>28.41</v>
    <v>1.1393</v>
    <v>0.105</v>
    <v>2.673E-3</v>
    <v>USD</v>
    <v>NYSE Arca</v>
    <v>ARCX</v>
    <v>7.3000000000000001E-3</v>
    <v>39.395000000000003</v>
    <v>ETF</v>
    <v>46030.870151435156</v>
    <v>117</v>
    <v>38.93</v>
    <v>6416272425.9099998</v>
    <v>iShares:China Large Cp</v>
    <v>38.96</v>
    <v>39.28</v>
    <v>39.384999999999998</v>
    <v>FXI</v>
    <v>iShares:China Large Cp (ARCX:FXI)</v>
    <v>19527337</v>
    <v>27766840</v>
  </rv>
  <rv s="2">
    <v>118</v>
  </rv>
  <rv s="0">
    <v>https://www.bing.com/financeapi/forcetrigger?t=a1sfkr&amp;q=ARCX%3aEWJ&amp;form=skydnc</v>
    <v>Learn more on Bing</v>
  </rv>
  <rv s="3">
    <v>en-US</v>
    <v>a1sfkr</v>
    <v>268435456</v>
    <v>1</v>
    <v>Powered by Refinitiv</v>
    <v>6</v>
    <v>7</v>
    <v>iShares:MSCI Japan (ARCX:EWJ)</v>
    <v>8</v>
    <v>9</v>
    <v>Finance</v>
    <v>10</v>
    <v>85.31</v>
    <v>59.84</v>
    <v>0.99029999999999996</v>
    <v>-3.4000000000000002E-2</v>
    <v>-4.0999999999999999E-4</v>
    <v>USD</v>
    <v>NYSE Arca</v>
    <v>ARCX</v>
    <v>4.8999999999999998E-3</v>
    <v>82.91</v>
    <v>ETF</v>
    <v>46030.87015929375</v>
    <v>120</v>
    <v>82.52</v>
    <v>15567906630.879999</v>
    <v>iShares:MSCI Japan</v>
    <v>82.56</v>
    <v>82.92</v>
    <v>82.885999999999996</v>
    <v>EWJ</v>
    <v>iShares:MSCI Japan (ARCX:EWJ)</v>
    <v>5222616</v>
    <v>5178550</v>
  </rv>
  <rv s="2">
    <v>121</v>
  </rv>
  <rv s="0">
    <v>https://www.bing.com/financeapi/forcetrigger?t=a233ur&amp;q=ARCX%3aSLV&amp;form=skydnc</v>
    <v>Learn more on Bing</v>
  </rv>
  <rv s="3">
    <v>en-US</v>
    <v>a233ur</v>
    <v>268435456</v>
    <v>1</v>
    <v>Powered by Refinitiv</v>
    <v>6</v>
    <v>7</v>
    <v>IShares:Silver Trust (ARCX:SLV)</v>
    <v>8</v>
    <v>9</v>
    <v>Finance</v>
    <v>10</v>
    <v>73.84</v>
    <v>26.57</v>
    <v>1.5407</v>
    <v>-1.32</v>
    <v>-1.8602E-2</v>
    <v>USD</v>
    <v>NYSE Arca</v>
    <v>ARCX</v>
    <v>5.0000000000000001E-3</v>
    <v>69.72</v>
    <v>ETF</v>
    <v>46030.870123066408</v>
    <v>123</v>
    <v>66.92</v>
    <v>38046290507.760002</v>
    <v>IShares:Silver Trust</v>
    <v>67.25</v>
    <v>70.959999999999994</v>
    <v>69.64</v>
    <v>SLV</v>
    <v>IShares:Silver Trust (ARCX:SLV)</v>
    <v>73096589</v>
    <v>70805483</v>
  </rv>
  <rv s="2">
    <v>124</v>
  </rv>
  <rv s="0">
    <v>https://www.bing.com/financeapi/forcetrigger?t=a1q5qh&amp;q=ARCX%3aCOPX&amp;form=skydnc</v>
    <v>Learn more on Bing</v>
  </rv>
  <rv s="3">
    <v>en-US</v>
    <v>a1q5qh</v>
    <v>268435456</v>
    <v>1</v>
    <v>Powered by Refinitiv</v>
    <v>6</v>
    <v>7</v>
    <v>Glbl X Copper Miners ETF (ARCX:COPX)</v>
    <v>8</v>
    <v>9</v>
    <v>Finance</v>
    <v>10</v>
    <v>78.69</v>
    <v>30.77</v>
    <v>1.2791999999999999</v>
    <v>-0.40379999999999999</v>
    <v>-5.3200000000000001E-3</v>
    <v>USD</v>
    <v>NYSE Arca</v>
    <v>ARCX</v>
    <v>6.5000000000000006E-3</v>
    <v>75.63</v>
    <v>ETF</v>
    <v>46030.870147488284</v>
    <v>126</v>
    <v>73.525999999999996</v>
    <v>4685828237.2200003</v>
    <v>Glbl X Copper Miners ETF</v>
    <v>74.650000000000006</v>
    <v>75.900000000000006</v>
    <v>75.496200000000002</v>
    <v>COPX</v>
    <v>Glbl X Copper Miners ETF (ARCX:COPX)</v>
    <v>2902112</v>
    <v>2860301</v>
  </rv>
  <rv s="2">
    <v>127</v>
  </rv>
  <rv s="0">
    <v>https://www.bing.com/financeapi/forcetrigger?t=a1wxdm&amp;q=ARCX%3aLIT&amp;form=skydnc</v>
    <v>Learn more on Bing</v>
  </rv>
  <rv s="3">
    <v>en-US</v>
    <v>a1wxdm</v>
    <v>268435456</v>
    <v>1</v>
    <v>Powered by Refinitiv</v>
    <v>6</v>
    <v>7</v>
    <v>Glbl X Lith &amp; Bat Tech (ARCX:LIT)</v>
    <v>8</v>
    <v>9</v>
    <v>Finance</v>
    <v>10</v>
    <v>69.75</v>
    <v>31.44</v>
    <v>0.62580000000000002</v>
    <v>-1.0349999999999999</v>
    <v>-1.5002E-2</v>
    <v>USD</v>
    <v>NYSE Arca</v>
    <v>ARCX</v>
    <v>7.4999999999999997E-3</v>
    <v>68.31</v>
    <v>ETF</v>
    <v>46030.870079235938</v>
    <v>129</v>
    <v>67.510000000000005</v>
    <v>1482110936.3299999</v>
    <v>Glbl X Lith &amp; Bat Tech</v>
    <v>68.069999999999993</v>
    <v>68.989999999999995</v>
    <v>67.954999999999998</v>
    <v>LIT</v>
    <v>Glbl X Lith &amp; Bat Tech (ARCX:LIT)</v>
    <v>228935</v>
    <v>293887</v>
  </rv>
  <rv s="2">
    <v>130</v>
  </rv>
  <rv s="0">
    <v>https://www.bing.com/financeapi/forcetrigger?t=a1op7w&amp;q=ARCX%3aBNO&amp;form=skydnc</v>
    <v>Learn more on Bing</v>
  </rv>
  <rv s="3">
    <v>en-US</v>
    <v>a1op7w</v>
    <v>268435456</v>
    <v>1</v>
    <v>Powered by Refinitiv</v>
    <v>6</v>
    <v>7</v>
    <v>United States Brent Oil (ARCX:BNO)</v>
    <v>8</v>
    <v>9</v>
    <v>Finance</v>
    <v>10</v>
    <v>33.384999999999998</v>
    <v>24.715</v>
    <v>0.97419999999999995</v>
    <v>1.2319</v>
    <v>4.3948999999999995E-2</v>
    <v>USD</v>
    <v>NYSE Arca</v>
    <v>ARCX</v>
    <v>1.1399999999999999E-2</v>
    <v>29.29</v>
    <v>ETF</v>
    <v>46030.86993787031</v>
    <v>132</v>
    <v>28.32</v>
    <v>100437219.64</v>
    <v>United States Brent Oil</v>
    <v>28.44</v>
    <v>28.03</v>
    <v>29.261900000000001</v>
    <v>BNO</v>
    <v>United States Brent Oil (ARCX:BNO)</v>
    <v>345772</v>
    <v>421478</v>
  </rv>
  <rv s="2">
    <v>133</v>
  </rv>
  <rv s="0">
    <v>https://www.bing.com/financeapi/forcetrigger?t=a24xim&amp;q=ARCX%3aUNG&amp;form=skydnc</v>
    <v>Learn more on Bing</v>
  </rv>
  <rv s="3">
    <v>en-US</v>
    <v>a24xim</v>
    <v>268435456</v>
    <v>1</v>
    <v>Powered by Refinitiv</v>
    <v>6</v>
    <v>7</v>
    <v>United States Nat Gas (ARCX:UNG)</v>
    <v>8</v>
    <v>9</v>
    <v>Finance</v>
    <v>10</v>
    <v>24.33</v>
    <v>11.01</v>
    <v>2.7812999999999999</v>
    <v>-0.51500000000000001</v>
    <v>-4.3718000000000007E-2</v>
    <v>USD</v>
    <v>NYSE Arca</v>
    <v>ARCX</v>
    <v>1.24E-2</v>
    <v>11.48</v>
    <v>ETF</v>
    <v>46030.87015668906</v>
    <v>135</v>
    <v>11.1127</v>
    <v>550632690.07000005</v>
    <v>United States Nat Gas</v>
    <v>11.47</v>
    <v>11.78</v>
    <v>11.265000000000001</v>
    <v>UNG</v>
    <v>United States Nat Gas (ARCX:UNG)</v>
    <v>25214428</v>
    <v>18533228</v>
  </rv>
  <rv s="2">
    <v>136</v>
  </rv>
  <rv s="0">
    <v>https://www.bing.com/financeapi/forcetrigger?t=a23c1h&amp;q=ARCX%3aSOYB&amp;form=skydnc</v>
    <v>Learn more on Bing</v>
  </rv>
  <rv s="3">
    <v>en-US</v>
    <v>a23c1h</v>
    <v>268435456</v>
    <v>1</v>
    <v>Powered by Refinitiv</v>
    <v>6</v>
    <v>7</v>
    <v>Teucrium:Soybean (ARCX:SOYB)</v>
    <v>8</v>
    <v>9</v>
    <v>Finance</v>
    <v>10</v>
    <v>23.86</v>
    <v>20.59</v>
    <v>1.1249</v>
    <v>-0.03</v>
    <v>-1.353E-3</v>
    <v>USD</v>
    <v>NYSE Arca</v>
    <v>ARCX</v>
    <v>3.56E-2</v>
    <v>22.24</v>
    <v>ETF</v>
    <v>46030.869854687502</v>
    <v>138</v>
    <v>22.119900000000001</v>
    <v>39939724.68</v>
    <v>Teucrium:Soybean</v>
    <v>22.19</v>
    <v>22.18</v>
    <v>22.15</v>
    <v>SOYB</v>
    <v>Teucrium:Soybean (ARCX:SOYB)</v>
    <v>27936</v>
    <v>135695</v>
  </rv>
  <rv s="2">
    <v>139</v>
  </rv>
  <rv s="0">
    <v>https://www.bing.com/financeapi/forcetrigger?t=a25sbh&amp;q=ARCX%3aWEAT&amp;form=skydnc</v>
    <v>Learn more on Bing</v>
  </rv>
  <rv s="3">
    <v>en-US</v>
    <v>a25sbh</v>
    <v>268435456</v>
    <v>1</v>
    <v>Powered by Refinitiv</v>
    <v>6</v>
    <v>7</v>
    <v>Teucrium:Wheat (ARCX:WEAT)</v>
    <v>8</v>
    <v>9</v>
    <v>Finance</v>
    <v>10</v>
    <v>26.75</v>
    <v>19.78</v>
    <v>0.96499999999999997</v>
    <v>5.5E-2</v>
    <v>2.7079999999999999E-3</v>
    <v>USD</v>
    <v>NYSE Arca</v>
    <v>ARCX</v>
    <v>3.2000000000000001E-2</v>
    <v>20.465</v>
    <v>ETF</v>
    <v>46030.868983506247</v>
    <v>141</v>
    <v>20.2822</v>
    <v>113057433.5</v>
    <v>Teucrium:Wheat</v>
    <v>20.3</v>
    <v>20.309999999999999</v>
    <v>20.364999999999998</v>
    <v>WEAT</v>
    <v>Teucrium:Wheat (ARCX:WEAT)</v>
    <v>148755</v>
    <v>162316</v>
  </rv>
  <rv s="2">
    <v>142</v>
  </rv>
  <rv s="0">
    <v>https://www.bing.com/financeapi/forcetrigger?t=a1q62w&amp;q=ARCX%3aCORN&amp;form=skydnc</v>
    <v>Learn more on Bing</v>
  </rv>
  <rv s="3">
    <v>en-US</v>
    <v>a1q62w</v>
    <v>268435456</v>
    <v>1</v>
    <v>Powered by Refinitiv</v>
    <v>6</v>
    <v>7</v>
    <v>Teucrium:Corn (ARCX:CORN)</v>
    <v>8</v>
    <v>9</v>
    <v>Finance</v>
    <v>10</v>
    <v>20.69</v>
    <v>16.61</v>
    <v>0.64419999999999999</v>
    <v>0.03</v>
    <v>1.6750000000000001E-3</v>
    <v>USD</v>
    <v>NYSE Arca</v>
    <v>ARCX</v>
    <v>3.27E-2</v>
    <v>17.9907</v>
    <v>ETF</v>
    <v>46030.869245728907</v>
    <v>144</v>
    <v>17.899999999999999</v>
    <v>46989404.020000003</v>
    <v>Teucrium:Corn</v>
    <v>17.940000000000001</v>
    <v>17.91</v>
    <v>17.940000000000001</v>
    <v>CORN</v>
    <v>Teucrium:Corn (ARCX:CORN)</v>
    <v>70939</v>
    <v>46914</v>
  </rv>
  <rv s="2">
    <v>145</v>
  </rv>
  <rv s="0">
    <v>https://www.bing.com/financeapi/forcetrigger?t=a21vc7&amp;q=ARCX%3aREMX&amp;form=skydnc</v>
    <v>Learn more on Bing</v>
  </rv>
  <rv s="3">
    <v>en-US</v>
    <v>a21vc7</v>
    <v>268435456</v>
    <v>1</v>
    <v>Powered by Refinitiv</v>
    <v>6</v>
    <v>7</v>
    <v>VanEck:RE &amp; Str Metals (ARCX:REMX)</v>
    <v>8</v>
    <v>9</v>
    <v>Finance</v>
    <v>10</v>
    <v>86.372200000000007</v>
    <v>32.36</v>
    <v>0.79290000000000005</v>
    <v>-2.33</v>
    <v>-2.7408999999999999E-2</v>
    <v>USD</v>
    <v>NYSE Arca</v>
    <v>ARCX</v>
    <v>5.7999999999999996E-3</v>
    <v>83.84</v>
    <v>ETF</v>
    <v>46030.870123992972</v>
    <v>147</v>
    <v>82.28</v>
    <v>1627188826.0999999</v>
    <v>VanEck:RE &amp; Str Metals</v>
    <v>83.35</v>
    <v>85.01</v>
    <v>82.68</v>
    <v>REMX</v>
    <v>VanEck:RE &amp; Str Metals (ARCX:REMX)</v>
    <v>1148869</v>
    <v>908137</v>
  </rv>
  <rv s="2">
    <v>148</v>
  </rv>
  <rv s="0">
    <v>https://www.bing.com/financeapi/forcetrigger?t=a1vvh7&amp;q=XNAS%3aIUSV&amp;form=skydnc</v>
    <v>Learn more on Bing</v>
  </rv>
  <rv s="3">
    <v>en-US</v>
    <v>a1vvh7</v>
    <v>268435456</v>
    <v>1</v>
    <v>Powered by Refinitiv</v>
    <v>6</v>
    <v>7</v>
    <v>iShares:Core S&amp;P US Val (XNAS:IUSV)</v>
    <v>8</v>
    <v>9</v>
    <v>Finance</v>
    <v>10</v>
    <v>104.88</v>
    <v>80.14</v>
    <v>1.018</v>
    <v>1.02</v>
    <v>9.8370000000000003E-3</v>
    <v>USD</v>
    <v>Nasdaq Stock Market</v>
    <v>XNAS</v>
    <v>4.0000000000000002E-4</v>
    <v>104.88</v>
    <v>ETF</v>
    <v>46030.870061330468</v>
    <v>150</v>
    <v>103.4</v>
    <v>24431181957.360001</v>
    <v>iShares:Core S&amp;P US Val</v>
    <v>103.4</v>
    <v>103.69</v>
    <v>104.71</v>
    <v>IUSV</v>
    <v>iShares:Core S&amp;P US Val (XNAS:IUSV)</v>
    <v>658728</v>
    <v>1063975</v>
  </rv>
  <rv s="2">
    <v>151</v>
  </rv>
  <rv s="0">
    <v>https://www.bing.com/financeapi/forcetrigger?t=a1vvec&amp;q=XNAS%3aIUSG&amp;form=skydnc</v>
    <v>Learn more on Bing</v>
  </rv>
  <rv s="3">
    <v>en-US</v>
    <v>a1vvec</v>
    <v>268435456</v>
    <v>1</v>
    <v>Powered by Refinitiv</v>
    <v>6</v>
    <v>7</v>
    <v>iShares:Core S&amp;P US Gr (XNAS:IUSG)</v>
    <v>8</v>
    <v>9</v>
    <v>Finance</v>
    <v>10</v>
    <v>172.32990000000001</v>
    <v>108.91</v>
    <v>0.99199999999999999</v>
    <v>-1.4550000000000001</v>
    <v>-8.5450000000000005E-3</v>
    <v>USD</v>
    <v>Nasdaq Stock Market</v>
    <v>XNAS</v>
    <v>4.0000000000000002E-4</v>
    <v>170.28190000000001</v>
    <v>ETF</v>
    <v>46030.870076388281</v>
    <v>153</v>
    <v>168.21</v>
    <v>26319451033.240002</v>
    <v>iShares:Core S&amp;P US Gr</v>
    <v>170.15</v>
    <v>170.27</v>
    <v>168.815</v>
    <v>IUSG</v>
    <v>iShares:Core S&amp;P US Gr (XNAS:IUSG)</v>
    <v>707430</v>
    <v>578418</v>
  </rv>
  <rv s="2">
    <v>154</v>
  </rv>
  <rv s="0">
    <v>https://www.bing.com/financeapi/forcetrigger?t=a1y4cw&amp;q=BATS%3aMTUM&amp;form=skydnc</v>
    <v>Learn more on Bing</v>
  </rv>
  <rv s="3">
    <v>en-US</v>
    <v>a1y4cw</v>
    <v>268435456</v>
    <v>1</v>
    <v>Powered by Refinitiv</v>
    <v>6</v>
    <v>7</v>
    <v>iShares:MSCI USA Mom Fct (BATS:MTUM)</v>
    <v>8</v>
    <v>9</v>
    <v>Finance</v>
    <v>10</v>
    <v>258.95999999999998</v>
    <v>171.51499999999999</v>
    <v>1.0692999999999999</v>
    <v>-3.11</v>
    <v>-1.2126E-2</v>
    <v>USD</v>
    <v>CBOE BZX Exchange</v>
    <v>BATS</v>
    <v>1.5E-3</v>
    <v>256.89</v>
    <v>ETF</v>
    <v>46030.870159964841</v>
    <v>156</v>
    <v>252.25</v>
    <v>20468467559.459999</v>
    <v>iShares:MSCI USA Mom Fct</v>
    <v>256.45</v>
    <v>256.47000000000003</v>
    <v>253.36</v>
    <v>MTUM</v>
    <v>iShares:MSCI USA Mom Fct (BATS:MTUM)</v>
    <v>650450</v>
    <v>676655</v>
  </rv>
  <rv s="2">
    <v>157</v>
  </rv>
  <rv s="0">
    <v>https://www.bing.com/financeapi/forcetrigger?t=a21nw7&amp;q=BATS%3aQUAL&amp;form=skydnc</v>
    <v>Learn more on Bing</v>
  </rv>
  <rv s="3">
    <v>en-US</v>
    <v>a21nw7</v>
    <v>268435456</v>
    <v>1</v>
    <v>Powered by Refinitiv</v>
    <v>6</v>
    <v>7</v>
    <v>iShares:MSCI USA QF (BATS:QUAL)</v>
    <v>8</v>
    <v>9</v>
    <v>Finance</v>
    <v>10</v>
    <v>203.2</v>
    <v>148.34010000000001</v>
    <v>0.97799999999999998</v>
    <v>0.53500000000000003</v>
    <v>2.6490000000000003E-3</v>
    <v>USD</v>
    <v>CBOE BZX Exchange</v>
    <v>BATS</v>
    <v>1.5E-3</v>
    <v>202.73</v>
    <v>ETF</v>
    <v>46030.870146712499</v>
    <v>159</v>
    <v>201.24</v>
    <v>48016156129.449997</v>
    <v>iShares:MSCI USA QF</v>
    <v>201.42</v>
    <v>201.93</v>
    <v>202.465</v>
    <v>QUAL</v>
    <v>iShares:MSCI USA QF (BATS:QUAL)</v>
    <v>1412891</v>
    <v>1450621</v>
  </rv>
  <rv s="2">
    <v>160</v>
  </rv>
  <rv s="0">
    <v>https://www.bing.com/financeapi/forcetrigger?t=a253c7&amp;q=BATS%3aUSMV&amp;form=skydnc</v>
    <v>Learn more on Bing</v>
  </rv>
  <rv s="3">
    <v>en-US</v>
    <v>a253c7</v>
    <v>268435456</v>
    <v>1</v>
    <v>Powered by Refinitiv</v>
    <v>6</v>
    <v>7</v>
    <v>iShares:MSCI USA MVF (BATS:USMV)</v>
    <v>8</v>
    <v>9</v>
    <v>Finance</v>
    <v>10</v>
    <v>95.59</v>
    <v>83.99</v>
    <v>0.65169999999999995</v>
    <v>0.315</v>
    <v>3.3450000000000003E-3</v>
    <v>USD</v>
    <v>CBOE BZX Exchange</v>
    <v>BATS</v>
    <v>1.5E-3</v>
    <v>94.81</v>
    <v>ETF</v>
    <v>46030.870124224217</v>
    <v>162</v>
    <v>94.16</v>
    <v>22784571406.419998</v>
    <v>iShares:MSCI USA MVF</v>
    <v>94.19</v>
    <v>94.18</v>
    <v>94.495000000000005</v>
    <v>USMV</v>
    <v>iShares:MSCI USA MVF (BATS:USMV)</v>
    <v>1818468</v>
    <v>1915574</v>
  </rv>
  <rv s="2">
    <v>163</v>
  </rv>
  <rv s="0">
    <v>https://www.bing.com/financeapi/forcetrigger?t=a25o5r&amp;q=ARCX%3aVYM&amp;form=skydnc</v>
    <v>Learn more on Bing</v>
  </rv>
  <rv s="3">
    <v>en-US</v>
    <v>a25o5r</v>
    <v>268435456</v>
    <v>1</v>
    <v>Powered by Refinitiv</v>
    <v>6</v>
    <v>7</v>
    <v>Vanguard Hi Dv Yld;ETF (ARCX:VYM)</v>
    <v>8</v>
    <v>9</v>
    <v>Finance</v>
    <v>10</v>
    <v>147.88</v>
    <v>112.05419999999999</v>
    <v>0.8851</v>
    <v>1.31</v>
    <v>9.0280000000000013E-3</v>
    <v>USD</v>
    <v>NYSE Arca</v>
    <v>ARCX</v>
    <v>5.9999999999999995E-4</v>
    <v>146.55500000000001</v>
    <v>ETF</v>
    <v>46030.870139200779</v>
    <v>165</v>
    <v>144.83000000000001</v>
    <v>68901464536.860001</v>
    <v>Vanguard Hi Dv Yld;ETF</v>
    <v>144.83000000000001</v>
    <v>145.1</v>
    <v>146.41</v>
    <v>VYM</v>
    <v>Vanguard Hi Dv Yld;ETF (ARCX:VYM)</v>
    <v>1494095</v>
    <v>1603257</v>
  </rv>
  <rv s="2">
    <v>166</v>
  </rv>
  <rv s="0">
    <v>https://www.bing.com/financeapi/forcetrigger?t=a1qzp2&amp;q=ARCX%3aDGRO&amp;form=skydnc</v>
    <v>Learn more on Bing</v>
  </rv>
  <rv s="3">
    <v>en-US</v>
    <v>a1qzp2</v>
    <v>268435456</v>
    <v>1</v>
    <v>Powered by Refinitiv</v>
    <v>6</v>
    <v>7</v>
    <v>iShares:Core Div Growth (ARCX:DGRO)</v>
    <v>8</v>
    <v>9</v>
    <v>Finance</v>
    <v>10</v>
    <v>70.790000000000006</v>
    <v>54.09</v>
    <v>0.83499999999999996</v>
    <v>0.63</v>
    <v>8.9990000000000001E-3</v>
    <v>USD</v>
    <v>NYSE Arca</v>
    <v>ARCX</v>
    <v>8.0000000000000004E-4</v>
    <v>70.724999999999994</v>
    <v>ETF</v>
    <v>46030.870145000001</v>
    <v>168</v>
    <v>69.86</v>
    <v>35912953265.720001</v>
    <v>iShares:Core Div Growth</v>
    <v>69.97</v>
    <v>70.010000000000005</v>
    <v>70.64</v>
    <v>DGRO</v>
    <v>iShares:Core Div Growth (ARCX:DGRO)</v>
    <v>2430737</v>
    <v>1883550</v>
  </rv>
  <rv s="2">
    <v>169</v>
  </rv>
  <rv s="0">
    <v>https://www.bing.com/financeapi/forcetrigger?t=a229vh&amp;q=ARCX%3aRSP&amp;form=skydnc</v>
    <v>Learn more on Bing</v>
  </rv>
  <rv s="3">
    <v>en-US</v>
    <v>a229vh</v>
    <v>268435456</v>
    <v>1</v>
    <v>Powered by Refinitiv</v>
    <v>6</v>
    <v>7</v>
    <v>Invesco S&amp;P500 EWght (ARCX:RSP)</v>
    <v>8</v>
    <v>9</v>
    <v>Finance</v>
    <v>10</v>
    <v>197.48</v>
    <v>150.35</v>
    <v>0.87529999999999997</v>
    <v>1.72</v>
    <v>8.8299999999999993E-3</v>
    <v>USD</v>
    <v>NYSE Arca</v>
    <v>ARCX</v>
    <v>2E-3</v>
    <v>196.97</v>
    <v>ETF</v>
    <v>46030.870168125002</v>
    <v>171</v>
    <v>194.17</v>
    <v>75163166824.770004</v>
    <v>Invesco S&amp;P500 EWght</v>
    <v>194.37</v>
    <v>194.79</v>
    <v>196.51</v>
    <v>RSP</v>
    <v>Invesco S&amp;P500 EWght (ARCX:RSP)</v>
    <v>20470836</v>
    <v>13572390</v>
  </rv>
  <rv s="2">
    <v>172</v>
  </rv>
  <rv s="9">
    <v>es-ES</v>
    <v>a1twnm</v>
    <v>268435456</v>
    <v>1</v>
    <v>Con tecnología de Refinitiv</v>
    <v>27</v>
    <v>28</v>
    <v>SPDR Gold (ARCX:GLD)</v>
    <v>8</v>
    <v>29</v>
    <v>Finance</v>
    <v>30</v>
    <v>ARCX</v>
    <v>421.52</v>
    <v>0.80549999999999999</v>
    <v>0</v>
    <v>0</v>
    <v>148228262258.13</v>
    <v>422.23</v>
    <v>46035.041667892969</v>
    <v>4.0000000000000001E-3</v>
    <v>NYSE Arca</v>
    <v>6</v>
    <v>425.74</v>
    <v>425.74</v>
    <v>421.52</v>
    <v>245.15100000000001</v>
    <v>USD</v>
    <v>SPDR Gold</v>
    <v>422.23</v>
    <v>GLD</v>
    <v>ETF</v>
    <v>SPDR Gold (ARCX:GLD)</v>
    <v>280588</v>
    <v>10861021</v>
  </rv>
  <rv s="2">
    <v>174</v>
  </rv>
  <rv s="0">
    <v>https://www.bing.com/financeapi/forcetrigger?t=a1mrjc&amp;q=XNYS%3aGOLD&amp;form=skydnc</v>
    <v>Learn more on Bing</v>
  </rv>
  <rv s="10">
    <v>es-ES</v>
    <v>a1mrjc</v>
    <v>268435456</v>
    <v>1</v>
    <v>Con tecnología de Refinitiv</v>
    <v>31</v>
    <v>32</v>
    <v>BARRICK MINING CORPORATION (XNYS:B)</v>
    <v>3</v>
    <v>33</v>
    <v>Finance</v>
    <v>34</v>
    <v>XNYS</v>
    <v>1687434000</v>
    <v>2018</v>
    <v>49.2</v>
    <v>0.91349999999999998</v>
    <v>1.22</v>
    <v>2.5517999999999999E-2</v>
    <v>112248100000</v>
    <v>47.81</v>
    <v>Barrick Mining Corporation es un productor de oro y cobre, que se dedica a la producción y venta de oro y cobre, así como actividades relacionadas, como la exploración y el desarrollo minero. La Compañía tiene intereses de propiedad en la producción de minas de oro ubicadas en Argentina, Canadá, Costa de Marfil, República Democrática del Congo, República Dominicana, Papúa Nueva Guinea, Tanzania y los Estados Unidos. Sus minas de cobre se encuentran en Zambia, Chile y Arabia Saudita. Sus operaciones incluyen Nevada Gold Mines, Bulyanhulu, Jabal Sayid, Kibali, Loulo-Gounkoto, Lumwana, North Mara, Porgera, Pueblo Viejo, Veladero y Zaldivar. Su operación Bulyanhulu se encuentra en el noroeste de Tanzania, a más de 55 kilómetros (km) al sur del lago Victoria y a 150 km al suroeste de la ciudad de Mwanza. La operación de cobre de Jabal Sayid se encuentra aproximadamente a 350 km al noreste de Jeddah, en el Reino de Arabia Saudita. La mina de cobre Lumwana es una operación convencional a cielo abierto.</v>
    <v>24600</v>
    <v>XNYS</v>
    <v>46035.040785485937</v>
    <v>New York Stock Exchange</v>
    <v>176</v>
    <v>49.74</v>
    <v>49.74</v>
    <v>48.954999999999998</v>
    <v>15.31</v>
    <v>USD</v>
    <v>BARRICK MINING CORPORATION</v>
    <v>BARRICK MINING CORPORATION</v>
    <v>23.5305</v>
    <v>49.03</v>
    <v>Metals &amp; Mining</v>
    <v>161 Bay Street, Suite 3700, TORONTO, ON, M5J 2S1 CA</v>
    <v>B</v>
    <v>Acciones</v>
    <v>BARRICK MINING CORPORATION (XNYS:B)</v>
    <v>86308</v>
    <v>12112887</v>
  </rv>
  <rv s="2">
    <v>177</v>
  </rv>
  <rv s="0">
    <v>https://www.bing.com/financeapi/forcetrigger?t=a1yeec&amp;q=XNYS%3aNEM&amp;form=skydnc</v>
    <v>Learn more on Bing</v>
  </rv>
  <rv s="10">
    <v>es-ES</v>
    <v>a1yeec</v>
    <v>268435456</v>
    <v>1</v>
    <v>Con tecnología de Refinitiv</v>
    <v>31</v>
    <v>32</v>
    <v>NEWMONT CORPORATION (XNYS:NEM)</v>
    <v>3</v>
    <v>35</v>
    <v>Finance</v>
    <v>34</v>
    <v>XNYS</v>
    <v>1091263000</v>
    <v>2001</v>
    <v>112.56</v>
    <v>0.42820000000000003</v>
    <v>3.91</v>
    <v>3.5874999999999997E-2</v>
    <v>118936800000</v>
    <v>108.99</v>
    <v>Newmont Corporation es una compañía de oro y productora de cobre, zinc, plomo y plata con operaciones y/o activos en las regiones de África, Australia, América Latina y el Caribe, América del Norte y Papúa Nueva Guinea. Las operaciones de la Compañía incluyen Brucejack, Red Chris, Penasquito, Merian, Cerro Negro, Yanacocha, Boddington, Tanami, Cadia, Lihir, Ahafo, y NGM. La operación de Brucejack incluye cuatro contratos de arrendamiento minero y seis reclamaciones mineras básicas que cubren 8.169 acres (3.306 hectáreas) y 337 reclamaciones minerales que cubren 298.795 acres (120.918 hectáreas). La operación Red Chris incluye cinco contratos de arrendamiento minero que cubren 12.703 acres y 199 reclamos minerales, que abarcan un área de 164.903 acres (66.734 hectáreas). Penasquito incluye 20 concesiones mineras para operaciones que comprenden 113.231 acres (45.823 hectáreas) y 60 concesiones mineras para exploración de 107.456 acres (43.486 hectáreas). La operación Merian incluye un derecho de explotación que abarca un área de 41.687 acres (16.870 hectáreas).</v>
    <v>22200</v>
    <v>XNYS</v>
    <v>46035.04136762656</v>
    <v>New York Stock Exchange</v>
    <v>179</v>
    <v>113.715</v>
    <v>113.715</v>
    <v>111.89</v>
    <v>38.53</v>
    <v>USD</v>
    <v>NEWMONT CORPORATION</v>
    <v>NEWMONT CORPORATION</v>
    <v>17.553899999999999</v>
    <v>112.9</v>
    <v>Metals &amp; Mining</v>
    <v>6900 E Layton Avenue, Suite 700, DENVER, CO, 80237 US</v>
    <v>NEM</v>
    <v>Acciones</v>
    <v>NEWMONT CORPORATION (XNYS:NEM)</v>
    <v>87777</v>
    <v>8802329</v>
  </rv>
  <rv s="2">
    <v>180</v>
  </rv>
  <rv s="0">
    <v>https://www.bing.com/financeapi/forcetrigger?t=a1whxm&amp;q=XNYS%3aKGC&amp;form=skydnc</v>
    <v>Learn more on Bing</v>
  </rv>
  <rv s="10">
    <v>es-ES</v>
    <v>a1whxm</v>
    <v>268435456</v>
    <v>1</v>
    <v>Con tecnología de Refinitiv</v>
    <v>31</v>
    <v>32</v>
    <v>KINROSS GOLD CORPORATION (XNYS:KGC)</v>
    <v>3</v>
    <v>33</v>
    <v>Finance</v>
    <v>34</v>
    <v>XNYS</v>
    <v>1207100000</v>
    <v>2025</v>
    <v>32.159999999999997</v>
    <v>1.2172000000000001</v>
    <v>1.7</v>
    <v>5.4417E-2</v>
    <v>52645260000</v>
    <v>31.24</v>
    <v>Kinross Gold Corporation es una empresa minera de oro con operaciones y proyectos en Estados Unidos, Brasil, Mauritania, Chile y Canadá. La Compañía se dedica a la minería de oro y actividades relacionadas, incluida la exploración y adquisición de propiedades que contienen oro, la extracción y procesamiento de mineral que contiene oro y la recuperación de propiedades de extracción de oro. Sus operaciones y proyectos incluyen Fort Knox, Round Mountain, Bald Mountain, Manh Choh, Paracatu, la Coipa, Tasiast, y el proyecto del Gran Oso, entre otros. Fort Knox es una mina de oro a cielo abierto ubicada cerca de la ciudad de Fairbanks, Alaska. Round Mountain es una mina a cielo abierto ubicada en Nevada. Paracatu es una operación de piedra angular ubicada cerca de la ciudad de Paracatu en la región brasileña de Minas Gerais. La mina Tasiast es una operación a cielo abierto situada en el noroeste de Mauritania. La mina La Coipa está ubicada en la región de Atacama en Chile. El Gran Oso es un proyecto de desarrollo en Canadá.</v>
    <v>6600</v>
    <v>XNYS</v>
    <v>46035.041455682811</v>
    <v>New York Stock Exchange</v>
    <v>182</v>
    <v>33.104999999999997</v>
    <v>33.104999999999997</v>
    <v>32.1</v>
    <v>10.01</v>
    <v>USD</v>
    <v>KINROSS GOLD CORPORATION</v>
    <v>KINROSS GOLD CORPORATION</v>
    <v>23.003399999999999</v>
    <v>32.94</v>
    <v>Metals &amp; Mining</v>
    <v>25 York Street,, 17th Floor, TORONTO, ON, M5J 2V5 CA</v>
    <v>KGC</v>
    <v>Acciones</v>
    <v>KINROSS GOLD CORPORATION (XNYS:KGC)</v>
    <v>78700</v>
    <v>7818355</v>
  </rv>
  <rv s="2">
    <v>183</v>
  </rv>
  <rv s="0">
    <v>https://www.bing.com/financeapi/forcetrigger?t=a1my2w&amp;q=XNYS%3aAEM&amp;form=skydnc</v>
    <v>Learn more on Bing</v>
  </rv>
  <rv s="10">
    <v>es-ES</v>
    <v>a1my2w</v>
    <v>268435456</v>
    <v>1</v>
    <v>Con tecnología de Refinitiv</v>
    <v>31</v>
    <v>32</v>
    <v>AGNICO EAGLE MINES LIMITED (XNYS:AEM)</v>
    <v>3</v>
    <v>33</v>
    <v>Finance</v>
    <v>34</v>
    <v>XNYS</v>
    <v>501633600</v>
    <v>2024</v>
    <v>196.53</v>
    <v>1.1022000000000001</v>
    <v>3.25</v>
    <v>1.7003000000000001E-2</v>
    <v>133879700000</v>
    <v>191.14</v>
    <v>Agnico Eagle Mines Limited es una empresa minera de oro líder y con sede en Canadá dedicada a la producción de metales preciosos de operaciones en Canadá, Australia, Finlandia y México, con una cartera de proyectos de exploración y desarrollo. Sus operaciones incluyen el complejo malártico canadiense, el lago Detour, Fosterville, Goldex, Kittila, la India, LaRonde Complex, Macassa, Meadowbank Complex, Meliadine y Pinos Altos. Sus sitios de exploración incluyen Barsele, Delta, Dubuisson, El Barqueno, Arrecife Hammond, Hope Bay, Jennings, Morelos Sur, North Madsen, Territorio del Norte, Pandora/Madera-Pandora, y otros. El complejo malártico canadiense se encuentra en la ciudad de Malartic, a 25 kilómetros (km) al oeste de Val-d'Or en el noroeste de Quebec. La mina Fosterville es una mina de oro subterránea de alto grado y bajo costo, ubicada a 20 km de la ciudad de Bendigo. También posee una participación del 100% en todas sus propiedades (128.680 hectáreas) en Quebec. Sus proyectos también incluyen Marban Alliance, Horizon, Alpha, Launay, Peacock, y otros.</v>
    <v>10586</v>
    <v>XNYS</v>
    <v>46035.041662048439</v>
    <v>New York Stock Exchange</v>
    <v>185</v>
    <v>199</v>
    <v>199</v>
    <v>194.02010000000001</v>
    <v>81.45</v>
    <v>USD</v>
    <v>AGNICO EAGLE MINES LIMITED</v>
    <v>AGNICO EAGLE MINES LIMITED</v>
    <v>28.394100000000002</v>
    <v>194.39</v>
    <v>Metals &amp; Mining</v>
    <v>145 King Street East, Suite 400, TORONTO, ON, M5C 2Y7 CA</v>
    <v>AEM</v>
    <v>Acciones</v>
    <v>AGNICO EAGLE MINES LIMITED (XNYS:AEM)</v>
    <v>7208</v>
    <v>2560747</v>
  </rv>
  <rv s="2">
    <v>186</v>
  </rv>
  <rv s="0">
    <v>https://www.bing.com/financeapi/forcetrigger?t=a1tqp2&amp;q=ARCX%3aGDX&amp;form=skydnc</v>
    <v>Learn more on Bing</v>
  </rv>
  <rv s="9">
    <v>es-ES</v>
    <v>a1tqp2</v>
    <v>268435456</v>
    <v>1</v>
    <v>Con tecnología de Refinitiv</v>
    <v>27</v>
    <v>28</v>
    <v>VanEck:Gold Miners (ARCX:GDX)</v>
    <v>8</v>
    <v>29</v>
    <v>Finance</v>
    <v>30</v>
    <v>ARCX</v>
    <v>95.19</v>
    <v>0.94540000000000002</v>
    <v>3.16</v>
    <v>3.4140000000000004E-2</v>
    <v>25801219815.369999</v>
    <v>92.56</v>
    <v>46034.88903371484</v>
    <v>5.1000000000000004E-3</v>
    <v>NYSE Arca</v>
    <v>188</v>
    <v>96.98</v>
    <v>96.98</v>
    <v>95.064999999999998</v>
    <v>35.1</v>
    <v>USD</v>
    <v>VanEck:Gold Miners</v>
    <v>95.72</v>
    <v>GDX</v>
    <v>ETF</v>
    <v>VanEck:Gold Miners (ARCX:GDX)</v>
    <v>376347</v>
    <v>21712782</v>
  </rv>
  <rv s="2">
    <v>189</v>
  </rv>
  <rv s="0">
    <v>https://www.bing.com/financeapi/forcetrigger?t=a1urxm&amp;q=XNYS%3aHMY&amp;form=skydnc</v>
    <v>Learn more on Bing</v>
  </rv>
  <rv s="10">
    <v>es-ES</v>
    <v>a1urxm</v>
    <v>268435456</v>
    <v>1</v>
    <v>Con tecnología de Refinitiv</v>
    <v>31</v>
    <v>32</v>
    <v>Harmony Gold Mining Company Limited (XNYS:HMY)</v>
    <v>3</v>
    <v>35</v>
    <v>Finance</v>
    <v>34</v>
    <v>XNYS</v>
    <v>636799000</v>
    <v>1950</v>
    <v>22.28</v>
    <v>0.93930000000000002</v>
    <v>1.6</v>
    <v>7.7331999999999998E-2</v>
    <v>13097200000</v>
    <v>20.69</v>
    <v>Harmony Gold Mining Company Limited es una empresa minera. Adquiere, explora, desarrolla y opera propiedades de oro y uranio, a través de sus minas subterráneas y a cielo abierto en Sudáfrica, y su mina a cielo abierto del Valle Oculto en Papúa Nueva Guinea. Sus principales productos son lingotes de oro y concentrado de uranio, extraídos de operaciones mineras de superficie y a nivel profundo. Sus segmentos incluyen Sudáfrica Underground, Surface e International. En Sudáfrica, sus operaciones subterráneas se encuentran dentro de la cuenca de Witwatersrand, que incluye una en el campo de oro de Klerksdorp, tres en el Rand Occidental, y cinco en el Estado Libre, en la parte sur de la cuenca de Witwatersrand. También tiene una mina a cielo abierto, Kalgold, en el cinturón de piedra verde de Kraaipan, así como varias operaciones de tratamiento de superficies. En Papua Nueva Guinea, opera la mina del Valle Escondido y el proyecto Wafi-Golpu. En Australia, la Compañía es propietaria del Proyecto de Mina de Cobre Eva. También es propietaria de CSA Copper Mine en Nueva Gales del Sur, Australia.</v>
    <v>34350</v>
    <v>XNYS</v>
    <v>46035.038791180472</v>
    <v>New York Stock Exchange</v>
    <v>191</v>
    <v>22.98</v>
    <v>22.98</v>
    <v>22.17</v>
    <v>8.9450000000000003</v>
    <v>USD</v>
    <v>Harmony Gold Mining Company Limited</v>
    <v>Harmony Gold Mining Company Limited</v>
    <v>17.286000000000001</v>
    <v>22.29</v>
    <v>Metals &amp; Mining</v>
    <v>Randfontein Office Park, Car Main Reef Road And Ward Avenue, RANDFONTEIN, GAUTENG, 1759 ZA</v>
    <v>HMY</v>
    <v>Acciones</v>
    <v>Harmony Gold Mining Company Limited (XNYS:HMY)</v>
    <v>82597</v>
    <v>3797517</v>
  </rv>
  <rv s="2">
    <v>192</v>
  </rv>
  <rv s="9">
    <v>es-ES</v>
    <v>a233ur</v>
    <v>268435456</v>
    <v>1</v>
    <v>Con tecnología de Refinitiv</v>
    <v>27</v>
    <v>28</v>
    <v>IShares:Silver Trust (ARCX:SLV)</v>
    <v>8</v>
    <v>29</v>
    <v>Finance</v>
    <v>30</v>
    <v>ARCX</v>
    <v>76.11</v>
    <v>1.5407</v>
    <v>0</v>
    <v>0</v>
    <v>38046290507.760002</v>
    <v>77.23</v>
    <v>46035.041667719532</v>
    <v>5.0000000000000001E-3</v>
    <v>NYSE Arca</v>
    <v>123</v>
    <v>78.180000000000007</v>
    <v>78.180000000000007</v>
    <v>76</v>
    <v>26.57</v>
    <v>USD</v>
    <v>IShares:Silver Trust</v>
    <v>77.23</v>
    <v>SLV</v>
    <v>ETF</v>
    <v>IShares:Silver Trust (ARCX:SLV)</v>
    <v>6007838</v>
    <v>76704979</v>
  </rv>
  <rv s="2">
    <v>194</v>
  </rv>
  <rv s="0">
    <v>https://www.bing.com/financeapi/forcetrigger?t=a1zfec&amp;q=XNAS%3aPAAS&amp;form=skydnc</v>
    <v>Learn more on Bing</v>
  </rv>
  <rv s="10">
    <v>es-ES</v>
    <v>a1zfec</v>
    <v>268435456</v>
    <v>1</v>
    <v>Con tecnología de Refinitiv</v>
    <v>31</v>
    <v>32</v>
    <v>Pan American Silver Corp. (XNYS:PAAS)</v>
    <v>3</v>
    <v>33</v>
    <v>Finance</v>
    <v>34</v>
    <v>XNYS</v>
    <v>421976000</v>
    <v>1979</v>
    <v>56.07</v>
    <v>1.2372000000000001</v>
    <v>1.45</v>
    <v>2.6718000000000002E-2</v>
    <v>31982950000</v>
    <v>54.27</v>
    <v>Pan American Silver Corp. Es un productor de plata y oro en las Américas, operando minas en Canadá, México, Perú, Brasil, Bolivia, México, Perú, Perú, Brasil, Bolivia y México. Chile y Argentina. Posee una participación del 100% en la mina Escobal en Guatemala, y tiene intereses en proyectos de exploración y desarrollo. Sus segmentos incluyen plata, oro y otros. El segmento de plata incluye las operaciones de La Colorada, Huarón, San Vicente, Cerro Moro, La Colorada Skarn, Navidad y Escobal. El segmento de oro incluye operaciones en Dolores, Shahuindo, Timmins, Jacobina, El Penón y Minera Florida. La mina La Colorada produce concentrados de plomo y zinc ricos en plata a partir de una planta de flotación que trata minerales de sulfuro. La mina Huaron produce concentrados de zinc, plomo y cobre ricos en plata utilizando tecnología de flotación. Posee un 44% de participación conjunta en la mina de plata Juanicipio en Zacatecas, México, operada por Fresnillo plc, junto con un 100% de propiedad del proyecto de exploración Larder y un 100% de participación en el proyecto de exploración Deer Trail.</v>
    <v>9000</v>
    <v>XNYS</v>
    <v>46035.041473853904</v>
    <v>New York Stock Exchange</v>
    <v>196</v>
    <v>56.69</v>
    <v>56.69</v>
    <v>55.46</v>
    <v>20.350100000000001</v>
    <v>USD</v>
    <v>Pan American Silver Corp.</v>
    <v>Pan American Silver Corp.</v>
    <v>32.224299999999999</v>
    <v>55.72</v>
    <v>Metals &amp; Mining</v>
    <v>2100-733 Seymour Street, VANCOUVER, BC, V6B 0S6 CA</v>
    <v>PAAS</v>
    <v>Acciones</v>
    <v>Pan American Silver Corp. (XNYS:PAAS)</v>
    <v>111985</v>
    <v>6661900</v>
  </rv>
  <rv s="2">
    <v>197</v>
  </rv>
  <rv s="0">
    <v>https://www.bing.com/financeapi/forcetrigger?t=a1upz2&amp;q=XNYS%3aHL&amp;form=skydnc</v>
    <v>Learn more on Bing</v>
  </rv>
  <rv s="10">
    <v>es-ES</v>
    <v>a1upz2</v>
    <v>268435456</v>
    <v>1</v>
    <v>Con tecnología de Refinitiv</v>
    <v>31</v>
    <v>32</v>
    <v>HECLA MINING COMPANY (XNYS:HL)</v>
    <v>3</v>
    <v>35</v>
    <v>Finance</v>
    <v>34</v>
    <v>XNYS</v>
    <v>670098700</v>
    <v>2006</v>
    <v>23.93</v>
    <v>1.2664</v>
    <v>2.0099999999999998</v>
    <v>8.9532E-2</v>
    <v>15043710000</v>
    <v>22.45</v>
    <v>Hecla Mining Company es una productora de plata en los Estados Unidos y Canadá. La Compañía descubre, adquiere y desarrolla minas y otros intereses minerales y produce y comercializa concentrados que contienen plata, oro, plomo, zinc y cobre; material de carbono que contiene plata y oro, y oro sin refinar que contiene plata y oro. Los segmentos de la compañía incluyen Greens Creek, Lucky Friday, Keno Hill y Casa Berardi. La operación de Greens Creek se encuentra en la isla Admiralty, cerca de Juneau, Alaska. El cuerpo de mineral de Greens Creek contiene plata, zinc, oro y plomo. La mina del Viernes de la suerte es una mina subterránea profunda de plata, plomo y zinc ubicada en el Distrito Minero de Coeur d'Alene en el norte de Idaho. La mina Casa Berardi es una mina de oro subterránea/a cielo abierto ubicada en el oeste de Quebec. Posee el 100% del Proyecto de Plata Keno Hill, que se encuentra dentro del Distrito de Plata de Keno Hill en el Territorio Yukón de Canadá. La Compañía también posee una serie de proyectos de exploración y pre-desarrollo.</v>
    <v>1830</v>
    <v>XNYS</v>
    <v>46034.975009247653</v>
    <v>New York Stock Exchange</v>
    <v>199</v>
    <v>24.885000000000002</v>
    <v>24.885000000000002</v>
    <v>23.26</v>
    <v>4.46</v>
    <v>USD</v>
    <v>HECLA MINING COMPANY</v>
    <v>HECLA MINING COMPANY</v>
    <v>79.220100000000002</v>
    <v>24.46</v>
    <v>Metals &amp; Mining</v>
    <v>NONE, 6500 N MINERAL DRIVE SUITE 200, COEUR D'ALENE, ID, 83815-9408 US</v>
    <v>HL</v>
    <v>Acciones</v>
    <v>HECLA MINING COMPANY (XNYS:HL)</v>
    <v>446716</v>
    <v>25097314</v>
  </rv>
  <rv s="2">
    <v>200</v>
  </rv>
  <rv s="0">
    <v>https://www.bing.com/financeapi/forcetrigger?t=a1pe52&amp;q=XNYS%3aCDE&amp;form=skydnc</v>
    <v>Learn more on Bing</v>
  </rv>
  <rv s="10">
    <v>es-ES</v>
    <v>a1pe52</v>
    <v>268435456</v>
    <v>1</v>
    <v>Con tecnología de Refinitiv</v>
    <v>31</v>
    <v>32</v>
    <v>COEUR MINING, INC. (XNYS:CDE)</v>
    <v>3</v>
    <v>35</v>
    <v>Finance</v>
    <v>34</v>
    <v>XNYS</v>
    <v>642106600</v>
    <v>2013</v>
    <v>21.51</v>
    <v>1.2262</v>
    <v>1.1850000000000001</v>
    <v>5.8088000000000001E-2</v>
    <v>13098970000</v>
    <v>20.399999999999999</v>
    <v>Coeur Mining, Inc. Es un productor diversificado de metales preciosos. La Compañía tiene cinco operaciones de propiedad total: La mina de plata y oro Las Chispas en Sonora, México, el complejo de oro y plata Palmarejo en Chihuahua, México, la mina de plata y oro Rochester en Nevada, la mina de oro Kensington en Alaska y la mina de oro Wharf en Dakota del Sur. Además, la Compañía es propietaria del proyecto de exploración de minerales críticos polimetálicos Silvertip en Columbia Británica. La Operación Las Chispas está ubicada aproximadamente a 180 kilómetros (km) al noreste de Hermosillo, Sonora, México. El complejo de Palmarejo consta de la planta de procesamiento de Palmarejo, tres minas subterráneas, objetivos de exploración y un campamento. La mina de Rochester es una operación a cielo abierto de plata y oro de lixiviación en pilas, ubicada en el condado de Pershing, Nevada. La mina Kensington es una operación de oro subterránea ubicada en el sureste de Alaska. Wharf es una operación de oro a cielo abierto y lixiviación en pilas ubicada en el norte de Black Hills en el oeste de Dakota del Sur.</v>
    <v>2116</v>
    <v>XNYS</v>
    <v>46035.041477731247</v>
    <v>New York Stock Exchange</v>
    <v>202</v>
    <v>22.07</v>
    <v>23.614999999999998</v>
    <v>21.16</v>
    <v>4.58</v>
    <v>USD</v>
    <v>COEUR MINING, INC.</v>
    <v>COEUR MINING, INC.</v>
    <v>31.6755</v>
    <v>21.585000000000001</v>
    <v>Metals &amp; Mining</v>
    <v>200 SOUTH WACKER DRIVE, SUITE 2100, CHICAGO, IL, 60606 US</v>
    <v>CDE</v>
    <v>Acciones</v>
    <v>COEUR MINING, INC. (XNYS:CDE)</v>
    <v>238520</v>
    <v>19847825</v>
  </rv>
  <rv s="2">
    <v>203</v>
  </rv>
  <rv s="9">
    <v>es-ES</v>
    <v>a1q5qh</v>
    <v>268435456</v>
    <v>1</v>
    <v>Con tecnología de Refinitiv</v>
    <v>27</v>
    <v>28</v>
    <v>Glbl X Copper Miners ETF (ARCX:COPX)</v>
    <v>8</v>
    <v>29</v>
    <v>Finance</v>
    <v>30</v>
    <v>ARCX</v>
    <v>79.265000000000001</v>
    <v>1.2791999999999999</v>
    <v>0</v>
    <v>0</v>
    <v>4685828237.2200003</v>
    <v>80.069999999999993</v>
    <v>46035.041667453122</v>
    <v>6.5000000000000006E-3</v>
    <v>NYSE Arca</v>
    <v>126</v>
    <v>80.172499999999999</v>
    <v>80.172499999999999</v>
    <v>78.819999999999993</v>
    <v>30.77</v>
    <v>USD</v>
    <v>Glbl X Copper Miners ETF</v>
    <v>80.069999999999993</v>
    <v>COPX</v>
    <v>ETF</v>
    <v>Glbl X Copper Miners ETF (ARCX:COPX)</v>
    <v>99000</v>
    <v>2917204</v>
  </rv>
  <rv s="2">
    <v>205</v>
  </rv>
  <rv s="0">
    <v>https://www.bing.com/financeapi/forcetrigger?t=a1sp52&amp;q=XNYS%3aFCX&amp;form=skydnc</v>
    <v>Learn more on Bing</v>
  </rv>
  <rv s="10">
    <v>es-ES</v>
    <v>a1sp52</v>
    <v>268435456</v>
    <v>1</v>
    <v>Con tecnología de Refinitiv</v>
    <v>31</v>
    <v>32</v>
    <v>FREEPORT-MCMORAN INC. (XNYS:FCX)</v>
    <v>3</v>
    <v>35</v>
    <v>Finance</v>
    <v>34</v>
    <v>XNYS</v>
    <v>1435931000</v>
    <v>1987</v>
    <v>57.744999999999997</v>
    <v>1.4702</v>
    <v>2.1800000000000002</v>
    <v>3.8564000000000001E-2</v>
    <v>84303509010</v>
    <v>56.53</v>
    <v>Freeport-McMoRan Inc. Es una compañía internacional de metales centrada en el cobre. La Compañía opera activos geográficamente diversos con importantes reservas minerales probadas y probables de cobre, oro y molibdeno. Los segmentos de la Compañía incluyen las minas de cobre Morenci y Cerro Verde, las operaciones en Indonesia (incluyendo el distrito de Grasberg Minerals y las instalaciones de procesamiento aguas abajo de PT-FI), las operaciones de Rod &amp; Refining y Fundición y Refinación de Cobre Atlántico. Sus operaciones incluyen América del Norte, América del Sur e Indonesia. En Norteamérica, gestiona siete operaciones de cobre: Morenci, Bagdad, Safford (incluyendo Lone Star), Sierrita y Miami en Arizona, y Chino y Tyrone en Nuevo México, y dos minas de molibdeno: Henderson y Climax en Colorado. También opera una fundición de cobre en Miami, Arizona. En América del Sur, gestiona dos operaciones de cobre: Cerro Verde en Perú y El Abra en Chile. Además del cobre, el distrito de Grasberg Minerals también produce oro y plata.</v>
    <v>28500</v>
    <v>XNYS</v>
    <v>46035.041335717186</v>
    <v>New York Stock Exchange</v>
    <v>207</v>
    <v>58.83</v>
    <v>58.83</v>
    <v>57.16</v>
    <v>27.66</v>
    <v>USD</v>
    <v>FREEPORT-MCMORAN INC.</v>
    <v>FREEPORT-MCMORAN INC.</v>
    <v>40.899500000000003</v>
    <v>58.71</v>
    <v>Metals &amp; Mining</v>
    <v>333 N Central Ave, PHOENIX, AZ, 85004 US</v>
    <v>FCX</v>
    <v>Acciones</v>
    <v>FREEPORT-MCMORAN INC. (XNYS:FCX)</v>
    <v>103749</v>
    <v>16977710</v>
  </rv>
  <rv s="2">
    <v>208</v>
  </rv>
  <rv s="0">
    <v>https://www.bing.com/financeapi/forcetrigger?t=a22ktc&amp;q=XNYS%3aSCCO&amp;form=skydnc</v>
    <v>Learn more on Bing</v>
  </rv>
  <rv s="10">
    <v>es-ES</v>
    <v>a22ktc</v>
    <v>268435456</v>
    <v>1</v>
    <v>Con tecnología de Refinitiv</v>
    <v>31</v>
    <v>32</v>
    <v>SOUTHERN COPPER CORPORATION (XNYS:SCCO)</v>
    <v>3</v>
    <v>35</v>
    <v>Finance</v>
    <v>34</v>
    <v>XNYS</v>
    <v>819095500</v>
    <v>1995</v>
    <v>172.88</v>
    <v>1.0833999999999999</v>
    <v>5.62</v>
    <v>3.2958000000000001E-2</v>
    <v>144275481370</v>
    <v>170.52</v>
    <v>Southern Copper Corporation es un productor integrado de cobre. La compañía se dedica a la producción de cobre, molibdeno, plata y zinc. Las instalaciones de minería, fundición y refinación de la Compañía están ubicadas en Perú y México y realizan actividades de exploración en esos países y en Argentina, Chile y Ecuador. Sus segmentos incluyen las operaciones peruanas, las operaciones a cielo abierto mexicanas y las operaciones mineras subterráneas mexicanas. Sus operaciones en Perú incluyen los complejos mineros Toquepala y Cuajone y las plantas de fundición y refinación, incluyendo una planta de metales preciosos, ferrocarril industrial e instalaciones portuarias. Sus operaciones a cielo abierto en México incluyen los complejos mineros La Caridad y Buenavista y las plantas de fundición y refinación, incluyendo una planta de metales preciosos y una planta de varillas de cobre e instalaciones de apoyo que dan servicio a ambas minas. Sus operaciones mineras subterráneas en México incluyen cinco minas subterráneas que producen zinc, cobre, plomo, plata y oro, y una refinería de zinc.</v>
    <v>16133</v>
    <v>XNYS</v>
    <v>46035.041620995311</v>
    <v>New York Stock Exchange</v>
    <v>210</v>
    <v>177.39</v>
    <v>177.39</v>
    <v>172.53</v>
    <v>72.747</v>
    <v>USD</v>
    <v>SOUTHERN COPPER CORPORATION</v>
    <v>SOUTHERN COPPER CORPORATION</v>
    <v>37.856099999999998</v>
    <v>176.14</v>
    <v>Metals &amp; Mining</v>
    <v>7310 NORTH 16TH ST., SUITE 135, PHOENIX, AZ, 85020 US</v>
    <v>SCCO</v>
    <v>Acciones</v>
    <v>SOUTHERN COPPER CORPORATION (XNYS:SCCO)</v>
    <v>16267</v>
    <v>1337897</v>
  </rv>
  <rv s="2">
    <v>211</v>
  </rv>
  <rv s="0">
    <v>https://www.bing.com/financeapi/forcetrigger?t=ayqwc7&amp;q=XNYS%3aLAC&amp;form=skydnc</v>
    <v>Learn more on Bing</v>
  </rv>
  <rv s="11">
    <v>es-ES</v>
    <v>ayqwc7</v>
    <v>268435456</v>
    <v>1</v>
    <v>Con tecnología de Refinitiv</v>
    <v>36</v>
    <v>37</v>
    <v>Lithium Argentina AG (XNYS:LAR)</v>
    <v>3</v>
    <v>38</v>
    <v>Finance</v>
    <v>34</v>
    <v>XNYS</v>
    <v>162381600</v>
    <v>2025</v>
    <v>7.415</v>
    <v>1.2534000000000001</v>
    <v>0.505</v>
    <v>7.2349999999999998E-2</v>
    <v>1133423000</v>
    <v>6.98</v>
    <v>Lithium Argentina AG es una empresa con sede en Suiza, que opera en la industria minera. La Compañía es una empresa de recursos y materiales enfocada en la producción de litio, que consiste en bombear el litio en estanques permitiendo que el agua se evapore y el mineral caiga de la suspensión. El litio es un material utilizado principalmente en baterías de iones de litio, que tienen aplicaciones en dispositivos electrónicos personales coches eléctricos entre otros productos. La Compañía tiene participaciones en múltiples instalaciones de producción de iones de litio ubicadas principalmente en Argentina, como la operación de salmuera de litio Cauchari-Olaroz, el Proyecto Cauchari-Olaroz, ubicado en Jujuy, Argentina, el proyecto Pastos Grandes, ubicado en la provincia de Salta, y el Proyecto Sal de la Puna.</v>
    <v>850</v>
    <v>XNYS</v>
    <v>46035.039513020311</v>
    <v>New York Stock Exchange</v>
    <v>213</v>
    <v>7.93</v>
    <v>7.93</v>
    <v>7.3006000000000002</v>
    <v>1.71</v>
    <v>USD</v>
    <v>Lithium Argentina AG</v>
    <v>Lithium Argentina AG</v>
    <v>7.4850000000000003</v>
    <v>Metals &amp; Mining</v>
    <v>Dammstrasse 19, ZUG, ZUG, 6300 CH</v>
    <v>LAR</v>
    <v>Acciones</v>
    <v>Lithium Argentina AG (XNYS:LAR)</v>
    <v>34300</v>
    <v>3392999</v>
  </rv>
  <rv s="2">
    <v>214</v>
  </rv>
  <rv s="12">
    <v>es-ES</v>
    <v>cazeww</v>
    <v>268435456</v>
    <v>1</v>
    <v>Con tecnología de Refinitiv</v>
    <v>39</v>
    <v>40</v>
    <v>Lithium Americas Corp (XNYS:LAC)</v>
    <v>13</v>
    <v>41</v>
    <v>Finance</v>
    <v>34</v>
    <v>XNYS</v>
    <v>314335400</v>
    <v>2023</v>
    <v>5.64</v>
    <v>0.375</v>
    <v>6.9572999999999996E-2</v>
    <v>1812143581</v>
    <v>5.39</v>
    <v>Lithium Americas Corp. Es una compañía de litio con sede en Canadá. La compañía se centró en el desarrollo, construcción y operación de depósitos de litio e instalaciones de procesamiento químico. El activo insignia de la compañía es Thacker Pass, un depósito de litio basado en sedimentos ubicado en la caldera McDermitt en el condado de Humboldt, en el norte de Nevada. La Compañía se centra en el desarrollo del proyecto de litio Thacker Pass 100% propiedad en el norte de Nevada, Estados Unidos de América. Thacker Pass está aproximadamente a 100 kilómetros (km) al noroeste de Winnemucca, Nevada, aproximadamente 33 km al oeste-noroeste de Orovada, Nevada, y 33 km al sur de la frontera de Oregón. El área de Thacker Pass abarca aproximadamente 7.900 hectáreas (ha) y se encuentra dentro y está rodeado de tierras públicas. Las subsidiarias de la compañía son LAC Management LLC, Lithium Nevada Ventures LLC, KV Project LLC y otros.</v>
    <v>87</v>
    <v>XNYS</v>
    <v>46035.041491272656</v>
    <v>New York Stock Exchange</v>
    <v>5.97</v>
    <v>10.52</v>
    <v>5.49</v>
    <v>2.31</v>
    <v>USD</v>
    <v>Lithium Americas Corp</v>
    <v>Lithium Americas Corp</v>
    <v>5.7649999999999997</v>
    <v>Metals &amp; Mining</v>
    <v>3260 - 666 Burrard St, VANCOUVER, BC, V6C 2X8 CA</v>
    <v>LAC</v>
    <v>Acciones</v>
    <v>Lithium Americas Corp (XNYS:LAC)</v>
    <v>766208</v>
    <v>12614991</v>
  </rv>
  <rv s="2">
    <v>216</v>
  </rv>
  <rv s="3">
    <v>en-US</v>
    <v>a1wxdm</v>
    <v>268435456</v>
    <v>1</v>
    <v>Powered by Refinitiv</v>
    <v>6</v>
    <v>7</v>
    <v>Glbl X Lith &amp; Bat Tech (ARCX:LIT)</v>
    <v>8</v>
    <v>9</v>
    <v>Finance</v>
    <v>10</v>
    <v>70.11</v>
    <v>31.44</v>
    <v>0.62580000000000002</v>
    <v>0</v>
    <v>0</v>
    <v>USD</v>
    <v>NYSE Arca</v>
    <v>ARCX</v>
    <v>7.4999999999999997E-3</v>
    <v>70.11</v>
    <v>ETF</v>
    <v>46035.041667638281</v>
    <v>129</v>
    <v>68.47</v>
    <v>1482110936.3299999</v>
    <v>Glbl X Lith &amp; Bat Tech</v>
    <v>69.290000000000006</v>
    <v>70</v>
    <v>70</v>
    <v>LIT</v>
    <v>Glbl X Lith &amp; Bat Tech (ARCX:LIT)</v>
    <v>3481</v>
    <v>303076</v>
  </rv>
  <rv s="2">
    <v>218</v>
  </rv>
  <rv s="0">
    <v>https://www.bing.com/financeapi/forcetrigger?t=a269ec&amp;q=XNYS%3aXOM&amp;form=skydnc</v>
    <v>Learn more on Bing</v>
  </rv>
  <rv s="10">
    <v>es-ES</v>
    <v>a269ec</v>
    <v>268435456</v>
    <v>1</v>
    <v>Con tecnología de Refinitiv</v>
    <v>31</v>
    <v>32</v>
    <v>EXXON MOBIL CORPORATION (XNYS:XOM)</v>
    <v>3</v>
    <v>35</v>
    <v>Finance</v>
    <v>34</v>
    <v>XNYS</v>
    <v>4217166000</v>
    <v>1882</v>
    <v>124.46</v>
    <v>0.38109999999999999</v>
    <v>-0.57999999999999996</v>
    <v>-4.6550000000000003E-3</v>
    <v>523055098980</v>
    <v>124.61</v>
    <v>Exxon Mobil Corporation es un proveedor de energía y fabricante de productos químicos. El negocio principal de la Compañía consiste en la exploración y producción de petróleo crudo y gas natural; la fabricación, comercio, transporte y venta de petróleo crudo, gas natural, productos petroquímicos y una amplia variedad de productos especiales; y la búsqueda de bajas emisiones y otras nuevas oportunidades de negocios, incluyendo captura y almacenamiento de carbono, hidrógeno, combustibles de bajas emisiones, sistemas Proxxima, materiales de carbono, etc. y litio. Su segmento ascendente explora y produce petróleo crudo y gas natural. Los segmentos de productos energéticos, productos químicos y productos especializados fabrican y venden productos petrolíferos y petroquímicos. El segmento de productos energéticos incluye combustibles, aromáticos, catalizadores y licencias. El segmento de productos químicos consiste en olefinas, poliolefinas e intermedios. El segmento de Productos Especiales incluye lubricantes terminados, ceras y depósitos base, sintéticos, elastómeros y resinas.</v>
    <v>61000</v>
    <v>XNYS</v>
    <v>46035.040435578128</v>
    <v>New York Stock Exchange</v>
    <v>220</v>
    <v>124.5</v>
    <v>125.93</v>
    <v>122.56</v>
    <v>97.8</v>
    <v>USD</v>
    <v>EXXON MOBIL CORPORATION</v>
    <v>EXXON MOBIL CORPORATION</v>
    <v>18.029299999999999</v>
    <v>124.03</v>
    <v>Oil &amp; Gas</v>
    <v>22777 SPRINGWOODS VILLAGE PARKWAY, SPRING, TX, 77389-1425 US</v>
    <v>XOM</v>
    <v>Acciones</v>
    <v>EXXON MOBIL CORPORATION (XNYS:XOM)</v>
    <v>51599</v>
    <v>17064123</v>
  </rv>
  <rv s="2">
    <v>221</v>
  </rv>
  <rv s="0">
    <v>https://www.bing.com/financeapi/forcetrigger?t=a1qlz2&amp;q=XNYS%3aCVX&amp;form=skydnc</v>
    <v>Learn more on Bing</v>
  </rv>
  <rv s="10">
    <v>es-ES</v>
    <v>a1qlz2</v>
    <v>268435456</v>
    <v>1</v>
    <v>Con tecnología de Refinitiv</v>
    <v>31</v>
    <v>32</v>
    <v>CHEVRON CORPORATION (XNYS:CVX)</v>
    <v>3</v>
    <v>35</v>
    <v>Finance</v>
    <v>34</v>
    <v>XNYS</v>
    <v>2013522000</v>
    <v>1926</v>
    <v>162.69999999999999</v>
    <v>0.6925</v>
    <v>0.23</v>
    <v>1.4189999999999999E-3</v>
    <v>326875161480</v>
    <v>162.11000000000001</v>
    <v>Chevron Corporation es una compañía de energía integrada. La Compañía produce petróleo crudo y gas natural; fabrica combustibles para el transporte, lubricantes, petroquímicos y aditivos; y desarrolla tecnologías que mejoran su negocio e industria. Los segmentos de la Compañía incluyen upstream y downstream. Las operaciones de aguas arriba consisten principalmente en la exploración, desarrollo, producción y transporte de petróleo crudo y gas natural; licuefacción, transporte y regasificación asociados con GNL; transporte de petróleo crudo por los principales oleoductos internacionales de exportación de petróleo; procesamiento, transporte, almacenamiento y comercialización de gas natural; captura y almacenamiento de carbono; y una planta de gas a líquidos. Las operaciones posteriores consisten principalmente en el refinado de petróleo crudo en productos petrolíferos; la comercialización de petróleo crudo, productos refinados y lubricantes; la fabricación y comercialización de combustibles renovables, y el transporte de petróleo crudo y productos refinados por tuberías, buques marinos, equipos de motor y vagones ferroviarios.</v>
    <v>45298</v>
    <v>XNYS</v>
    <v>46035.041421411719</v>
    <v>New York Stock Exchange</v>
    <v>223</v>
    <v>163.56</v>
    <v>168.96</v>
    <v>160.71</v>
    <v>132.04</v>
    <v>USD</v>
    <v>CHEVRON CORPORATION</v>
    <v>CHEVRON CORPORATION</v>
    <v>22.923200000000001</v>
    <v>162.34</v>
    <v>Oil &amp; Gas</v>
    <v>1400 SMITH STREET, HOUSTON, TX, 77002 US</v>
    <v>CVX</v>
    <v>Acciones</v>
    <v>CHEVRON CORPORATION (XNYS:CVX)</v>
    <v>49754</v>
    <v>10364865</v>
  </rv>
  <rv s="2">
    <v>224</v>
  </rv>
  <rv s="0">
    <v>https://www.bing.com/financeapi/forcetrigger?t=a21t52&amp;q=XNYS%3aSHEL&amp;form=skydnc</v>
    <v>Learn more on Bing</v>
  </rv>
  <rv s="10">
    <v>es-ES</v>
    <v>a21t52</v>
    <v>268435456</v>
    <v>1</v>
    <v>Con tecnología de Refinitiv</v>
    <v>31</v>
    <v>32</v>
    <v>SHELL PLC (XNYS:SHEL)</v>
    <v>3</v>
    <v>35</v>
    <v>Finance</v>
    <v>34</v>
    <v>XNYS</v>
    <v>2853514000</v>
    <v>2002</v>
    <v>71.16</v>
    <v>0.152</v>
    <v>0.81</v>
    <v>1.1436E-2</v>
    <v>202508200000</v>
    <v>70.83</v>
    <v>Shell plc es una empresa internacional de energía dedicada a los principales aspectos de las industrias energética y petroquímica. Los segmentos de la Compañía incluyen Gas Integrado, Upstream, Marketing, Químicos y Productos, Energías Renovables y Soluciones Energéticas, y Corporativo. El segmento de Gas Integrado incluye gas natural licuado (GNL), conversión de gas natural en combustibles de gas a líquidos (GTL) y otros productos. Incluye la exploración y extracción de gas natural y líquidos, y la explotación de la infraestructura de aguas arriba y media. El segmento ascendente incluye la exploración y extracción de petróleo crudo, gas natural y líquidos de gas natural. También comercializa y transporta petróleo y gas y opera la infraestructura necesaria para entregarlos al mercado. El segmento de Marketing comprende las empresas de Movilidad, Lubricantes y Sectores y Descarbonización. El segmento de productos químicos y productos incluye plantas de fabricación de productos químicos con su propia red de comercialización, y refinerías.</v>
    <v>96000</v>
    <v>XNYS</v>
    <v>46035.037584814061</v>
    <v>New York Stock Exchange</v>
    <v>226</v>
    <v>71.84</v>
    <v>77.47</v>
    <v>71.040000000000006</v>
    <v>58.545000000000002</v>
    <v>USD</v>
    <v>SHELL PLC</v>
    <v>SHELL PLC</v>
    <v>14.7393</v>
    <v>71.64</v>
    <v>Oil &amp; Gas</v>
    <v>Shell Centre, 2 York Road, LONDON, UNITED KINGDOM-NA, SE1 7NA GB</v>
    <v>SHEL</v>
    <v>Acciones</v>
    <v>SHELL PLC (XNYS:SHEL)</v>
    <v>61186</v>
    <v>4391113</v>
  </rv>
  <rv s="2">
    <v>227</v>
  </rv>
  <rv s="9">
    <v>es-ES</v>
    <v>a267oc</v>
    <v>268435456</v>
    <v>1</v>
    <v>Con tecnología de Refinitiv</v>
    <v>27</v>
    <v>28</v>
    <v>Sel Sector:Enrgy SS SPDR (ARCX:XLE)</v>
    <v>8</v>
    <v>29</v>
    <v>Finance</v>
    <v>30</v>
    <v>ARCX</v>
    <v>46.75</v>
    <v>1.1389</v>
    <v>-0.33</v>
    <v>-7.0709999999999992E-3</v>
    <v>26484196626.900002</v>
    <v>46.67</v>
    <v>46035.04166762656</v>
    <v>8.0000000000000004E-4</v>
    <v>NYSE Arca</v>
    <v>17</v>
    <v>46.805</v>
    <v>47.41</v>
    <v>46.100099999999998</v>
    <v>37.244999999999997</v>
    <v>USD</v>
    <v>Sel Sector:Enrgy SS SPDR</v>
    <v>46.34</v>
    <v>XLE</v>
    <v>ETF</v>
    <v>Sel Sector:Enrgy SS SPDR (ARCX:XLE)</v>
    <v>427751</v>
    <v>33402463</v>
  </rv>
  <rv s="2">
    <v>229</v>
  </rv>
  <rv s="9">
    <v>es-ES</v>
    <v>a267lh</v>
    <v>268435456</v>
    <v>1</v>
    <v>Con tecnología de Refinitiv</v>
    <v>27</v>
    <v>28</v>
    <v>Sel Sector:Mat SS SPDR (ARCX:XLB)</v>
    <v>8</v>
    <v>29</v>
    <v>Finance</v>
    <v>30</v>
    <v>ARCX</v>
    <v>48.37</v>
    <v>0.99219999999999997</v>
    <v>0</v>
    <v>0</v>
    <v>5357776979.5200005</v>
    <v>48.52</v>
    <v>46035.041666828125</v>
    <v>8.0000000000000004E-4</v>
    <v>NYSE Arca</v>
    <v>90</v>
    <v>48.61</v>
    <v>48.61</v>
    <v>48.202599999999997</v>
    <v>36.56</v>
    <v>USD</v>
    <v>Sel Sector:Mat SS SPDR</v>
    <v>48.52</v>
    <v>XLB</v>
    <v>ETF</v>
    <v>Sel Sector:Mat SS SPDR (ARCX:XLB)</v>
    <v>4817</v>
    <v>10796545</v>
  </rv>
  <rv s="2">
    <v>231</v>
  </rv>
  <rv s="0">
    <v>https://www.bing.com/financeapi/forcetrigger?t=a26e7w&amp;q=XNYS%3aYPF&amp;form=skydnc</v>
    <v>Learn more on Bing</v>
  </rv>
  <rv s="10">
    <v>es-ES</v>
    <v>a26e7w</v>
    <v>268435456</v>
    <v>1</v>
    <v>Con tecnología de Refinitiv</v>
    <v>31</v>
    <v>32</v>
    <v>YPF Sociedad Anónima (XNYS:YPF)</v>
    <v>3</v>
    <v>35</v>
    <v>Finance</v>
    <v>34</v>
    <v>XNYS</v>
    <v>393261000</v>
    <v>1977</v>
    <v>33.64</v>
    <v>1.4158999999999999</v>
    <v>-0.26500000000000001</v>
    <v>-7.7759999999999999E-3</v>
    <v>13944230000</v>
    <v>34.08</v>
    <v>YPF SA, también conocida como Yacimientos Petroliferos Fiscales, es una compañía con sede en Argentina en el sector energético que opera una cadena de petróleo y gas totalmente integrada. La Compañía opera a través de los segmentos, incluyendo Exploración y Producción, Descendente, y Corporativo y otros. El segmento de Exploración y Producción de la Compañía incluye actividades de exploración y producción, compras de gas natural y petróleo crudo, ventas de gas natural y, en menor medida, petróleo crudo, a terceros y ventas intersegmentadas de petróleo crudo, gas natural y sus subproductos. El segmento descendente de la Compañía se dedica a la refinación, transporte, compra de petróleo crudo y gas natural a terceros y ventas intersegmentadas, y comercialización de petróleo crudo, gas natural, productos refinados, petroquímicos, generación de energía eléctrica y distribución de gas natural. El segmento Corporativo y Otro de la Compañía lleva a cabo otras actividades.</v>
    <v>22032</v>
    <v>XNYS</v>
    <v>46035.040176168754</v>
    <v>New York Stock Exchange</v>
    <v>233</v>
    <v>34.19</v>
    <v>45.94</v>
    <v>33.32</v>
    <v>22.82</v>
    <v>USD</v>
    <v>YPF Sociedad Anónima</v>
    <v>YPF Sociedad Anónima</v>
    <v>9.3550000000000004</v>
    <v>33.814999999999998</v>
    <v>Oil &amp; Gas</v>
    <v>Guemes, Macacha,Boulevard 515, BUENOS AIRES, BUENOS AIRES, 1106 AR</v>
    <v>YPF</v>
    <v>Acciones</v>
    <v>YPF Sociedad Anónima (XNYS:YPF)</v>
    <v>10271</v>
    <v>1208021</v>
  </rv>
  <rv s="2">
    <v>234</v>
  </rv>
  <rv s="0">
    <v>https://www.bing.com/financeapi/forcetrigger?t=a1zggh&amp;q=XNYS%3aPAM&amp;form=skydnc</v>
    <v>Learn more on Bing</v>
  </rv>
  <rv s="10">
    <v>es-ES</v>
    <v>a1zggh</v>
    <v>268435456</v>
    <v>1</v>
    <v>Con tecnología de Refinitiv</v>
    <v>31</v>
    <v>32</v>
    <v>Pampa Energía S.A. (XNYS:PAM)</v>
    <v>3</v>
    <v>35</v>
    <v>Finance</v>
    <v>34</v>
    <v>XNYS</v>
    <v>54385660</v>
    <v>1945</v>
    <v>82.71</v>
    <v>1.1335999999999999</v>
    <v>-0.91</v>
    <v>-1.0903000000000001E-2</v>
    <v>4707166000</v>
    <v>83.46</v>
    <v>Pampa Energia SA es una empresa argentina dedicada , a través de sus filiales, a la generación, transmisión y distribución de electricidad. Sus segmentos incluyen generación, transmisión, distribución, petróleo y gas, y Holding y otros. Su segmento de generación incluye una participación directa e indirecta en Central Piedra Buena S.A., Central Termica Guemes S.A., Central Termica Loma de la Lata S.A. y Pampa Comercializadora S.A, entre otros, e inversiones en empresas en el sector de la generación de electricidad. Su segmento de transmisión incluye una participación indirecta de capital a través de Compania Inversora en Transmision Electrica CITELEC S.A. Su segmento de distribución incluye una participación indirecta de capital en Electricidad Argentina S.A. y Empresa Distribuidora y Comercializadora Norte S.A. Su segmento de petróleo y gas incluye una participación directa en Petrolera Pampa S.A. Su segmento de 'holding y otros' incluye operaciones de inversión financiera, entre otros.</v>
    <v>6286</v>
    <v>XNYS</v>
    <v>46034.999259050783</v>
    <v>New York Stock Exchange</v>
    <v>236</v>
    <v>84.55</v>
    <v>96.97</v>
    <v>81.42</v>
    <v>54.95</v>
    <v>USD</v>
    <v>Pampa Energía S.A.</v>
    <v>Pampa Energía S.A.</v>
    <v>16.6203</v>
    <v>82.55</v>
    <v>Electrical Utilities &amp; IPPs</v>
    <v>Edificio Pampa Energia, Maipu 1, BUENOS AIRES, BUENOS AIRES, 1084 AR</v>
    <v>PAM</v>
    <v>Acciones</v>
    <v>Pampa Energía S.A. (XNYS:PAM)</v>
    <v>133</v>
    <v>130809</v>
  </rv>
  <rv s="2">
    <v>237</v>
  </rv>
  <rv s="0">
    <v>https://www.bing.com/financeapi/forcetrigger?t=a1zez2&amp;q=XNYS%3aOXY&amp;form=skydnc</v>
    <v>Learn more on Bing</v>
  </rv>
  <rv s="10">
    <v>es-ES</v>
    <v>a1zez2</v>
    <v>268435456</v>
    <v>1</v>
    <v>Con tecnología de Refinitiv</v>
    <v>31</v>
    <v>32</v>
    <v>OCCIDENTAL PETROLEUM CORPORATION (XNYS:OXY)</v>
    <v>3</v>
    <v>35</v>
    <v>Finance</v>
    <v>34</v>
    <v>XNYS</v>
    <v>985210400</v>
    <v>1986</v>
    <v>43</v>
    <v>0.41149999999999998</v>
    <v>-0.14000000000000001</v>
    <v>-3.2659999999999998E-3</v>
    <v>42088188288</v>
    <v>42.86</v>
    <v>Occidental Petroleum Corporation es una compañía internacional de energía con activos principalmente en los Estados Unidos, Oriente Medio y el norte de África. La Compañía es un productor de petróleo y gas en los Estados Unidos, incluyendo un productor en las cuencas Pérmica y DJ, y en el Golfo de México. Sus segmentos incluyen petróleo y gas, y midstream y comercialización. El segmento de petróleo y gas explora, desarrolla y produce petróleo (que incluye condensado), líquidos de gas natural (NGL) y gas natural. El segmento midstream y marketing de la Compañía compran, comercializan, reúnen, procesan, transportan, y almacena petróleo (que incluye condensado), GNL, gas natural, dióxido de carbono (CO2) y energía. El segmento midstream y marketing proporciona garantía de flujo y maximiza el valor de su petróleo y gas. También optimiza su capacidad de transporte y almacenamiento e invierte en entidades que realizan actividades similares. Este segmento también incluye empresas de baja emisión de carbono.</v>
    <v>13323</v>
    <v>XNYS</v>
    <v>46035.041434108593</v>
    <v>New York Stock Exchange</v>
    <v>239</v>
    <v>43.14</v>
    <v>53.2</v>
    <v>42.25</v>
    <v>34.784999999999997</v>
    <v>USD</v>
    <v>OCCIDENTAL PETROLEUM CORPORATION</v>
    <v>OCCIDENTAL PETROLEUM CORPORATION</v>
    <v>31.188199999999998</v>
    <v>42.72</v>
    <v>Oil &amp; Gas</v>
    <v>5 GREENWAY PLAZA, SUITE 110, HOUSTON, TX, 77046 US</v>
    <v>OXY</v>
    <v>Acciones</v>
    <v>OCCIDENTAL PETROLEUM CORPORATION (XNYS:OXY)</v>
    <v>80787</v>
    <v>10499104</v>
  </rv>
  <rv s="2">
    <v>240</v>
  </rv>
  <rv s="0">
    <v>https://www.bing.com/financeapi/forcetrigger?t=a1orf2&amp;q=XNYS%3aBP&amp;form=skydnc</v>
    <v>Learn more on Bing</v>
  </rv>
  <rv s="10">
    <v>es-ES</v>
    <v>a1orf2</v>
    <v>268435456</v>
    <v>1</v>
    <v>Con tecnología de Refinitiv</v>
    <v>31</v>
    <v>32</v>
    <v>BP P.L.C. (XNYS:BP)</v>
    <v>3</v>
    <v>35</v>
    <v>Finance</v>
    <v>34</v>
    <v>XNYS</v>
    <v>2602215000</v>
    <v>1909</v>
    <v>34.32</v>
    <v>0.31519999999999998</v>
    <v>0.12</v>
    <v>3.4999999999999996E-3</v>
    <v>89300290000</v>
    <v>34.29</v>
    <v>BP p.l.c. es una compañía de energía integrada con sede en el Reino Unido. Sus segmentos incluyen gas y energía baja en carbono, producción y operaciones de petróleo, clientes y productos, y otras empresas y empresas. El gas y la energía baja en carbono comprenden regiones con empresas iniciales que producen principalmente gas natural, actividades de comercialización y comercio de gas y sus negocios solares, eólicos e hidrógeno. El segmento de producción y operaciones de petróleo comprende regiones con actividades de producción inicial que producen principalmente petróleo crudo, incluida la energía bpx. El segmento de clientes y productos comprende sus negocios centrados en el cliente, que incluyen combustibles de conveniencia y venta al por menor, recarga de vehículos eléctricos (EV), así como Castrol, aviación y empresa a empresa (B2B) y midstream. También incluye sus negocios de productos, refinación y comercio de petróleo, así como sus negocios de bioenergía. Los otros negocios y corporativos también comprenden las funciones de envío y tesorería de la Compañía, y las actividades corporativas en todo el mundo.</v>
    <v>100500</v>
    <v>XNYS</v>
    <v>46035.039102858595</v>
    <v>New York Stock Exchange</v>
    <v>242</v>
    <v>34.484999999999999</v>
    <v>37.64</v>
    <v>34.055</v>
    <v>25.224900000000002</v>
    <v>USD</v>
    <v>BP P.L.C.</v>
    <v>BP P.L.C.</v>
    <v>59.839300000000001</v>
    <v>34.409999999999997</v>
    <v>Oil &amp; Gas</v>
    <v>1 St James's Square, LONDON, SW1Y 4PD GB</v>
    <v>BP</v>
    <v>Acciones</v>
    <v>BP P.L.C. (XNYS:BP)</v>
    <v>164131</v>
    <v>8688518</v>
  </rv>
  <rv s="2">
    <v>243</v>
  </rv>
  <rv s="0">
    <v>https://www.bing.com/financeapi/forcetrigger?t=a24e9c&amp;q=XNYS%3aTTE&amp;form=skydnc</v>
    <v>Learn more on Bing</v>
  </rv>
  <rv s="11">
    <v>es-ES</v>
    <v>a24e9c</v>
    <v>268435456</v>
    <v>1</v>
    <v>Con tecnología de Refinitiv</v>
    <v>36</v>
    <v>37</v>
    <v>TotalEnergies SE (XNYS:TTE)</v>
    <v>3</v>
    <v>38</v>
    <v>Finance</v>
    <v>34</v>
    <v>XNYS</v>
    <v>2206585000</v>
    <v>1954</v>
    <v>63.9</v>
    <v>0.2273</v>
    <v>0.78</v>
    <v>1.2201E-2</v>
    <v>141792800000</v>
    <v>63.93</v>
    <v>TotalEnergies SE es una empresa con sede en Francia. La Compañía se dedica principalmente al negocio como un grupo petrolero mundial. Sus divisiones de segmento se dividen en refinación y química, como refinación de productos petroleros y fabricación de química básica y química especializada, distribución de productos petroleros, generación de electricidad a partir de plantas de ciclo combinado de gas y energías renovables, producción de gas, comercio, transporte y distribución principalmente incluye gas natural licuado, gas natural, biogás, hidrógeno, gas licuado de petróleo e hidrocarburos en operación y producción. El grupo también opera en el comercio y el transporte marítimo de petróleo crudo y productos petroleros.</v>
    <v>102887</v>
    <v>XNYS</v>
    <v>46035.035044617965</v>
    <v>New York Stock Exchange</v>
    <v>245</v>
    <v>64.75</v>
    <v>66.69</v>
    <v>63.78</v>
    <v>62.155000000000001</v>
    <v>USD</v>
    <v>TotalEnergies SE</v>
    <v>TotalEnergies SE</v>
    <v>64.709999999999994</v>
    <v>Oil &amp; Gas</v>
    <v>Tour Coupole - 2, place Jean Millier, Paris La Defense Cedex, PARIS, ILE-DE-FRANCE, 92078 FR</v>
    <v>TTE</v>
    <v>Acciones</v>
    <v>TotalEnergies SE (XNYS:TTE)</v>
    <v>1420</v>
    <v>1092810</v>
  </rv>
  <rv s="2">
    <v>246</v>
  </rv>
  <rv s="0">
    <v>https://www.bing.com/financeapi/forcetrigger?t=b127mw&amp;q=XNYS%3aEQNR&amp;form=skydnc</v>
    <v>Learn more on Bing</v>
  </rv>
  <rv s="10">
    <v>es-ES</v>
    <v>b127mw</v>
    <v>268435456</v>
    <v>1</v>
    <v>Con tecnología de Refinitiv</v>
    <v>31</v>
    <v>32</v>
    <v>Equinor ASA (XNYS:EQNR)</v>
    <v>3</v>
    <v>35</v>
    <v>Finance</v>
    <v>34</v>
    <v>XNYS</v>
    <v>2556808000</v>
    <v>1995</v>
    <v>23.76</v>
    <v>0.3261</v>
    <v>0.39</v>
    <v>1.6596E-2</v>
    <v>60863070000</v>
    <v>23.5</v>
    <v>Equinor ASA, anteriormente Statoil ASA, es una compañía internacional de energía con sede en Noruega. El propósito de la Compañía es convertir los recursos naturales en energía. Equinor vende petróleo crudo y entrega gas natural al mercado europeo. También se dedica a actividades de procesamiento, refinación, eólica marina y captura y almacenamiento de carbono. Equinor ASA tiene cinco segmentos de presentación de informes: Exploración y Producción Noruega (E&amp;P Noruega), Exploración y Producción Internacional (E&amp;P International), Exploración y Producción USA (E&amp;P USA), Comercialización, Midstream &amp; Processing (MMP) y Renewables (REN). La compañía tiene varias filiales como Equinor Nigeria Energy Company Ltd, Equinor Wind Power AS, Equinor International Netherlands BV y Equinor Brasil Energia Ltda.</v>
    <v>25155</v>
    <v>XNYS</v>
    <v>46035.036964467188</v>
    <v>New York Stock Exchange</v>
    <v>248</v>
    <v>24.1</v>
    <v>28.265000000000001</v>
    <v>23.69</v>
    <v>21.405000000000001</v>
    <v>USD</v>
    <v>Equinor ASA</v>
    <v>Equinor ASA</v>
    <v>11.3047</v>
    <v>23.89</v>
    <v>Oil &amp; Gas</v>
    <v>Forusbeen 50, STAVANGER, ROGALAND, 4035 NO</v>
    <v>EQNR</v>
    <v>Acciones</v>
    <v>Equinor ASA (XNYS:EQNR)</v>
    <v>121092</v>
    <v>3524253</v>
  </rv>
  <rv s="2">
    <v>249</v>
  </rv>
  <rv s="0">
    <v>https://www.bing.com/financeapi/forcetrigger?t=a1rjbh&amp;q=XNYS%3aE&amp;form=skydnc</v>
    <v>Learn more on Bing</v>
  </rv>
  <rv s="13">
    <v>es-ES</v>
    <v>a1rjbh</v>
    <v>268435456</v>
    <v>1</v>
    <v>Con tecnología de Refinitiv</v>
    <v>42</v>
    <v>43</v>
    <v>Eni SpA (XNYS:E)</v>
    <v>3</v>
    <v>44</v>
    <v>Finance</v>
    <v>45</v>
    <v>XNYS</v>
    <v>1573383000</v>
    <v>37.5</v>
    <v>0.62009999999999998</v>
    <v>0.35</v>
    <v>9.3779999999999992E-3</v>
    <v>58938110000</v>
    <v>37.32</v>
    <v>Eni SpA (Eni) es una empresa con sede en Italia dedicada a la exploración, desarrollo y producción de hidrocarburos, en el suministro y comercialización de gas, gas natural licuado (GNL) y energía, en el refino y comercialización de productos petrolíferos en la producción y comercialización de petroquímicos básicos, plásticos y elastómeros y en el comercio de productos básicos. Los segmentos de la Compañía incluyen Exploración y Producción, Gas y Energía y Refinación y Marketing. Su segmento de Exploración y Producción se dedica a la exploración de petróleo y gas natural y desarrollo de campo y producción , así como operaciones de GNL en más de 40 países, incluyendo Italia, Libia, Egipto, Noruega, Reino Unido, Angola, Congo, Nigeria, Estados Unidos , Kazajistán, Argelia, Australia, Venezuela, Iraq, Ghana y Mozambique. Su segmento de Gas y Energía se dedica al suministro, comercio y marketing de gas, GNL y electricidad, actividades internacionales de transporte de gas y comercio de productos básicos y derivados.</v>
    <v>32356</v>
    <v>XNYS</v>
    <v>46034.93649490703</v>
    <v>New York Stock Exchange</v>
    <v>251</v>
    <v>37.700000000000003</v>
    <v>39.409999999999997</v>
    <v>37.44</v>
    <v>24.65</v>
    <v>USD</v>
    <v>Eni SpA</v>
    <v>Eni SpA</v>
    <v>18.095400000000001</v>
    <v>37.67</v>
    <v>Oil &amp; Gas</v>
    <v>Piazza Ezio Vanoni, 1, SAN DONATO MILANESE, MILANO, 20097 IT</v>
    <v>E</v>
    <v>Acciones</v>
    <v>Eni SpA (XNYS:E)</v>
    <v>1225</v>
    <v>255546</v>
  </rv>
  <rv s="2">
    <v>252</v>
  </rv>
  <rv s="0">
    <v>https://www.bing.com/financeapi/forcetrigger?t=a1zj8m&amp;q=XNYS%3aPBR&amp;form=skydnc</v>
    <v>Learn more on Bing</v>
  </rv>
  <rv s="10">
    <v>es-ES</v>
    <v>a1zj8m</v>
    <v>268435456</v>
    <v>1</v>
    <v>Con tecnología de Refinitiv</v>
    <v>31</v>
    <v>32</v>
    <v>Brazilian Petroleum Corporation - Petrobras (XNYS:PBR)</v>
    <v>3</v>
    <v>35</v>
    <v>Finance</v>
    <v>34</v>
    <v>XNYS</v>
    <v>6444366000</v>
    <v>1953</v>
    <v>11.92</v>
    <v>0.52790000000000004</v>
    <v>-0.01</v>
    <v>-8.4180000000000008E-4</v>
    <v>74693970000</v>
    <v>11.88</v>
    <v>Petroleo Brasileiro SA Petrobras es una empresa con sede en Brasil. La empresa se especializa en la industria del petróleo, el gas natural y la energía. La Compañía se dedica a la prospección, perforación, refinación, procesamiento, comercio y transporte de petróleo crudo de la producción de yacimientos petrolíferos en tierra y mar adentro y de esquisto u otras rocas. Sus segmentos incluyen Exploración y Producción (exploración, desarrollo y producción de petróleo crudo, líquidos de gas natural y gas natural); Refinación, Transporte, y Comercialización (refinación, logística, transporte, comercio de productos petroleros, exportación de etanol, procesamiento de esquisto); Gas y energía (transporte y comercio de gas natural e importado); Biocombustibles (producción de biodiesel y etanol); Distribución (distribución de combustible); y Corporativo (funciones administrativas y de apoyo).</v>
    <v>49185</v>
    <v>XNYS</v>
    <v>46035.041610010936</v>
    <v>New York Stock Exchange</v>
    <v>254</v>
    <v>12.04</v>
    <v>14.98</v>
    <v>11.87</v>
    <v>11.0329</v>
    <v>USD</v>
    <v>Brazilian Petroleum Corporation - Petrobras</v>
    <v>Brazilian Petroleum Corporation - Petrobras</v>
    <v>5.2519</v>
    <v>11.87</v>
    <v>Oil &amp; Gas</v>
    <v>Av. Republica do Chile, n 65, 24 andar, Centro, Rio de Janeiro, RIO DE JANEIRO, 20.031-912 BR</v>
    <v>PBR</v>
    <v>Acciones</v>
    <v>Brazilian Petroleum Corporation - Petrobras (XNYS:PBR)</v>
    <v>140125</v>
    <v>17208795</v>
  </rv>
  <rv s="2">
    <v>255</v>
  </rv>
  <rv s="10">
    <v>es-ES</v>
    <v>br185r</v>
    <v>268435456</v>
    <v>1</v>
    <v>Con tecnología de Refinitiv</v>
    <v>31</v>
    <v>32</v>
    <v>Vista Energy, S.A.B. de C.V. (XNYS:VIST)</v>
    <v>3</v>
    <v>35</v>
    <v>Finance</v>
    <v>34</v>
    <v>XNYS</v>
    <v>104256400</v>
    <v>2017</v>
    <v>46.88</v>
    <v>0.81669999999999998</v>
    <v>1.76</v>
    <v>3.8120000000000001E-2</v>
    <v>4818086000</v>
    <v>46.17</v>
    <v>Vista Energy SAB de CV, anteriormente Vista Oil &amp; Gas SA de CV, es una empresa con sede en México, que participa en el sector energético. La Empresa se centra en la identificación, adquisición y desarrollo de campos de gas y petróleo en América Latina, principalmente en México, Argentina, Brasil y Colombia.</v>
    <v>564</v>
    <v>XNYS</v>
    <v>46035.034706608596</v>
    <v>New York Stock Exchange</v>
    <v>40</v>
    <v>48.39</v>
    <v>61.67</v>
    <v>46.64</v>
    <v>31.63</v>
    <v>USD</v>
    <v>Vista Energy, S.A.B. de C.V.</v>
    <v>Vista Energy, S.A.B. de C.V.</v>
    <v>7.0888</v>
    <v>47.93</v>
    <v>Oil &amp; Gas</v>
    <v>Calle Pedregal 24, piso 4, Colonia Molino del Rey, MIGUEL HIDALGO, MEXICO, D.F., 11040 MX</v>
    <v>VIST</v>
    <v>Acciones</v>
    <v>Vista Energy, S.A.B. de C.V. (XNYS:VIST)</v>
    <v>1398</v>
    <v>668229</v>
  </rv>
  <rv s="2">
    <v>257</v>
  </rv>
  <rv s="0">
    <v>https://www.bing.com/financeapi/forcetrigger?t=a1u5c7&amp;q=XNYS%3aGPRK&amp;form=skydnc</v>
    <v>Learn more on Bing</v>
  </rv>
  <rv s="10">
    <v>es-ES</v>
    <v>a1u5c7</v>
    <v>268435456</v>
    <v>1</v>
    <v>Con tecnología de Refinitiv</v>
    <v>31</v>
    <v>32</v>
    <v>GeoPark Limited (XNYS:GPRK)</v>
    <v>3</v>
    <v>35</v>
    <v>Finance</v>
    <v>34</v>
    <v>XNYS</v>
    <v>51309780</v>
    <v>2003</v>
    <v>7.23</v>
    <v>0.4496</v>
    <v>0.14000000000000001</v>
    <v>1.958E-2</v>
    <v>374048296</v>
    <v>7.15</v>
    <v>Geopark Ltd es una empresa con sede en Colombia que opera en el sector energético. Como explorador, operador y consolidador de petróleo y gas, la Compañía cuenta con activos y plataformas de crecimiento en Colombia, Ecuador, Chile y Brasil. Los intereses de trabajo de la operación en 42 bloques de hidrocarburos comprenden la exploración y producción de gas natural (E&amp;P) y la producción de petróleo crudo en tierra y mar adentro en más de 700.000 acres. El bloque Del Mosquito en la cuenca Austral de Argentina, y los bloques Cerro Doña Juana y Loma Cortaderal en la cuenca Neuquina son propiedad total de Geopark Holdings Limited, mientras que el bloque Fell en la región chilena de Magallanes es propiedad del 90% de la Compañía, con el resto del interés en infraestructura asociada, instalaciones de producción, licencias operativas y una base de datos técnica son propiedad de la petrolera estatal Enap.</v>
    <v>476</v>
    <v>XNYS</v>
    <v>46034.881992615628</v>
    <v>New York Stock Exchange</v>
    <v>259</v>
    <v>7.34</v>
    <v>11.67</v>
    <v>7.12</v>
    <v>5.66</v>
    <v>USD</v>
    <v>GeoPark Limited</v>
    <v>GeoPark Limited</v>
    <v>11.2569</v>
    <v>7.29</v>
    <v>Oil &amp; Gas</v>
    <v>Calle 94 No. 11-30 8 Piso, BOGOTA CO</v>
    <v>GPRK</v>
    <v>Acciones</v>
    <v>GeoPark Limited (XNYS:GPRK)</v>
    <v>130</v>
    <v>614220</v>
  </rv>
  <rv s="2">
    <v>260</v>
  </rv>
  <rv s="0">
    <v>https://www.bing.com/financeapi/forcetrigger?t=a232mw&amp;q=XNYS%3aSLB&amp;form=skydnc</v>
    <v>Learn more on Bing</v>
  </rv>
  <rv s="10">
    <v>es-ES</v>
    <v>a232mw</v>
    <v>268435456</v>
    <v>1</v>
    <v>Con tecnología de Refinitiv</v>
    <v>31</v>
    <v>32</v>
    <v>SLB N.V. (XNYS:SLB)</v>
    <v>3</v>
    <v>35</v>
    <v>Finance</v>
    <v>34</v>
    <v>XNYS</v>
    <v>1493924000</v>
    <v>1956</v>
    <v>45.4</v>
    <v>0.73750000000000004</v>
    <v>-0.04</v>
    <v>-8.8499999999999994E-4</v>
    <v>67465607839</v>
    <v>45.2</v>
    <v>SLB N.V. es una compañía global de tecnología. Los segmentos de la Compañía incluyen Digital, Rendimiento de yacimientos, Construcción de Pozos, Sistemas de Producción y todos los demás. El segmento digital incluye productos, servicios y soluciones que abarcan la cadena de valor de la energía, desde la caracterización del subsuelo, pasando por el desarrollo de campo y la producción de hidrocarburos, hasta la gestión del carbono y la integración de sistemas energéticos adyacentes. El segmento de rendimiento del yacimiento consiste en tecnologías y servicios centrados en el yacimiento que son críticos para optimizar la productividad y el rendimiento del yacimiento. El segmento de construcción de pozos proporciona a los operadores y fabricantes de equipos de perforación servicios y productos relacionados con el diseño y la construcción de un pozo. El segmento de Sistemas de Producción desarrolla tecnologías y proporciona experiencia que mejora la producción y la recuperación de los yacimientos subterráneos a la superficie, a las tuberías y a las refinerías. Todos los demás segmentos incluyen soluciones de rendimiento de activos, soluciones de centros de datos y SLB Capturi.</v>
    <v>110000</v>
    <v>XNYS</v>
    <v>46035.040917650003</v>
    <v>New York Stock Exchange</v>
    <v>262</v>
    <v>45.5</v>
    <v>45.5</v>
    <v>44.365000000000002</v>
    <v>31.11</v>
    <v>USD</v>
    <v>SLB N.V.</v>
    <v>SLB N.V.</v>
    <v>17.452200000000001</v>
    <v>45.16</v>
    <v>Oil &amp; Gas Related Equipment and Services</v>
    <v>5599 San Felipe, 17Th Floor, HOUSTON, TX, 77056 US</v>
    <v>SLB</v>
    <v>Acciones</v>
    <v>SLB N.V. (XNYS:SLB)</v>
    <v>26225</v>
    <v>16346157</v>
  </rv>
  <rv s="2">
    <v>263</v>
  </rv>
  <rv s="0">
    <v>https://www.bing.com/financeapi/forcetrigger?t=a1ufm7&amp;q=XNYS%3aHAL&amp;form=skydnc</v>
    <v>Learn more on Bing</v>
  </rv>
  <rv s="10">
    <v>es-ES</v>
    <v>a1ufm7</v>
    <v>268435456</v>
    <v>1</v>
    <v>Con tecnología de Refinitiv</v>
    <v>31</v>
    <v>32</v>
    <v>HALLIBURTON COMPANY (XNYS:HAL)</v>
    <v>3</v>
    <v>35</v>
    <v>Finance</v>
    <v>34</v>
    <v>XNYS</v>
    <v>841626600</v>
    <v>1996</v>
    <v>32.86</v>
    <v>0.78180000000000005</v>
    <v>-0.73</v>
    <v>-2.2372E-2</v>
    <v>26847888540</v>
    <v>32.630000000000003</v>
    <v>Halliburton Company es un proveedor de productos y servicios para la industria de la energía. La Compañía opera a través de dos segmentos: Finalización y Producción y Perforación y Evaluación. El segmento de finalización y producción ofrece cementación, estimulación, productos químicos especializados, intervención, control de presión, ascensor artificial, y productos y servicios de terminación. El segmento consiste en elevación artificial, cementación, herramientas de terminación, servicios de tuberías y procesos, mejora de la producción y soluciones de producción. El segmento de perforación y evaluación proporciona modelado de yacimientos y campos, fluidos de perforación, evaluación y soluciones precisas de colocación de pozos que permiten a los clientes modelar, medir, perforar y optimizar sus actividades de construcción de pozos. Sus líneas de servicio de productos incluyen Baroid, brocas y servicios, gestión de proyectos de Halliburton, software y servicios emblemáticos, perforación Sperry, pruebas y submarinos y alámbricos y perforación.</v>
    <v>47000</v>
    <v>XNYS</v>
    <v>46035.040816573441</v>
    <v>New York Stock Exchange</v>
    <v>265</v>
    <v>33.029899999999998</v>
    <v>33.03</v>
    <v>31.434999999999999</v>
    <v>18.72</v>
    <v>USD</v>
    <v>HALLIBURTON COMPANY</v>
    <v>HALLIBURTON COMPANY</v>
    <v>21.106100000000001</v>
    <v>31.9</v>
    <v>Oil &amp; Gas Related Equipment and Services</v>
    <v>3000 North Sam Houston Parkway East, HOUSTON, TX, 77032 US</v>
    <v>HAL</v>
    <v>Acciones</v>
    <v>HALLIBURTON COMPANY (XNYS:HAL)</v>
    <v>18203</v>
    <v>12601838</v>
  </rv>
  <rv s="2">
    <v>266</v>
  </rv>
  <rv s="0">
    <v>https://www.bing.com/financeapi/forcetrigger?t=a1ogsm&amp;q=XNAS%3aBKR&amp;form=skydnc</v>
    <v>Learn more on Bing</v>
  </rv>
  <rv s="10">
    <v>es-ES</v>
    <v>a1ogsm</v>
    <v>268435456</v>
    <v>1</v>
    <v>Con tecnología de Refinitiv</v>
    <v>31</v>
    <v>32</v>
    <v>BAKER HUGHES COMPANY (XNAS:BKR)</v>
    <v>3</v>
    <v>35</v>
    <v>Finance</v>
    <v>34</v>
    <v>XNAS</v>
    <v>986773900</v>
    <v>2016</v>
    <v>49.97</v>
    <v>0.88129999999999997</v>
    <v>-2.02</v>
    <v>-4.0423999999999995E-2</v>
    <v>47315808505</v>
    <v>49.97</v>
    <v>Baker Hughes Company es una empresa de tecnología energética que ofrece soluciones a clientes industriales y de energía en todo el mundo. Los segmentos de la compañía incluyen servicios y equipos para yacimientos petrolíferos (OFSE) y tecnología industrial y energética (IET). OFSE Segment proporciona productos y servicios para operaciones de yacimientos petrolíferos en tierra y mar adentro a lo largo del ciclo de vida de un pozo, que abarca desde la exploración, la evaluación y el desarrollo, hasta la producción, la producción y el desarrollo. rejuvenecimiento y desmantelamiento. El segmento OFSE se organiza en cuatro líneas de productos: Construcción de pozos; Compleciones, intervención y mediciones; Soluciones de producción, y Submarino. IET Segment ofrece soluciones y servicios tecnológicos para aplicaciones de accionamiento mecánico, compresión y generación de energía en toda la industria de la energía, incluyendo petróleo y gas, operaciones de gas natural licuado, refinación descendente y mercados petroquímicos, así como soluciones de menor carbono para sectores energéticos e industriales más amplios. El segmento IET también proporciona equipos, software y servicios.</v>
    <v>57000</v>
    <v>XNAS</v>
    <v>46035.040107025001</v>
    <v>Nasdaq Stock Market</v>
    <v>268</v>
    <v>50.16</v>
    <v>51.12</v>
    <v>47.674999999999997</v>
    <v>33.6</v>
    <v>USD</v>
    <v>BAKER HUGHES COMPANY</v>
    <v>BAKER HUGHES COMPANY</v>
    <v>16.527000000000001</v>
    <v>47.95</v>
    <v>Oil &amp; Gas Related Equipment and Services</v>
    <v>575 NORTH DAIRY ASHFORD ROAD, SUITE 100, HOUSTON, TX, 77079-1121 US</v>
    <v>BKR</v>
    <v>Acciones</v>
    <v>BAKER HUGHES COMPANY (XNAS:BKR)</v>
    <v>9632</v>
    <v>7542464</v>
  </rv>
  <rv s="2">
    <v>269</v>
  </rv>
  <rv s="0">
    <v>https://www.bing.com/financeapi/forcetrigger?t=a253hw&amp;q=ARCX%3aUSO&amp;form=skydnc</v>
    <v>Learn more on Bing</v>
  </rv>
  <rv s="9">
    <v>es-ES</v>
    <v>a253hw</v>
    <v>268435456</v>
    <v>1</v>
    <v>Con tecnología de Refinitiv</v>
    <v>27</v>
    <v>28</v>
    <v>United States Oil Fund (ARCX:USO)</v>
    <v>8</v>
    <v>29</v>
    <v>Finance</v>
    <v>30</v>
    <v>ARCX</v>
    <v>70.959999999999994</v>
    <v>1.0367999999999999</v>
    <v>0.88500000000000001</v>
    <v>1.2503999999999999E-2</v>
    <v>886116237.02999997</v>
    <v>70.78</v>
    <v>46034.908104976559</v>
    <v>8.199999999999999E-3</v>
    <v>NYSE Arca</v>
    <v>271</v>
    <v>72</v>
    <v>84.58</v>
    <v>70.469899999999996</v>
    <v>60.67</v>
    <v>USD</v>
    <v>United States Oil Fund</v>
    <v>71.665000000000006</v>
    <v>USO</v>
    <v>ETF</v>
    <v>United States Oil Fund (ARCX:USO)</v>
    <v>140292</v>
    <v>4867823</v>
  </rv>
  <rv s="2">
    <v>272</v>
  </rv>
  <rv s="0">
    <v>https://www.bing.com/financeapi/forcetrigger?t=a1n427&amp;q=XNYS%3aAGRO&amp;form=skydnc</v>
    <v>Learn more on Bing</v>
  </rv>
  <rv s="10">
    <v>es-ES</v>
    <v>a1n427</v>
    <v>268435456</v>
    <v>1</v>
    <v>Con tecnología de Refinitiv</v>
    <v>31</v>
    <v>32</v>
    <v>Adecoagro SA (XNYS:AGRO)</v>
    <v>3</v>
    <v>35</v>
    <v>Finance</v>
    <v>45</v>
    <v>XNYS</v>
    <v>141465700</v>
    <v>2010</v>
    <v>8.3800000000000008</v>
    <v>0.4269</v>
    <v>-0.13</v>
    <v>-1.5569E-2</v>
    <v>1162848054</v>
    <v>8.35</v>
    <v>ADECOAGRO S.A. es una empresa controladora. La Compañía está involucrada en una variedad de negocios, incluyendo cultivos y otros productos agrícolas, operaciones de lácteos, azúcar, etanol y producción de energía y transformación de tierras. La Compañía está organizada en tres líneas de negocio: Agricultura, Transformación de Tierras y Azúcar, Etanol y Energía. Sus actividades agrícolas consisten de la cosecha de determinados productos agrícolas, que incluyen cultivos, arroz sin pilar y caña de azúcar, para la venta a terceros y para uso interno como insumos en sus varios procesos de fabricación, y la producción de leche cruda. Sus actividades de fabricación consisten en vender productos manufacturados, que incluyen arroz procesado, azúcar, etanol y energía, entre otros, y prestación de servicios tales como grano, almacenamiento y acondicionamiento, manejo y servicios de secado, entre otros. Las actividades de transformación de tierras de la Compañía consisten en la adquisición de tierras de cultivo o negocios con tierras agrícolas subdesarrolladas o subutilizados.</v>
    <v>10320</v>
    <v>XNYS</v>
    <v>46035.000000022657</v>
    <v>New York Stock Exchange</v>
    <v>274</v>
    <v>8.4049999999999994</v>
    <v>11.785</v>
    <v>8.2100000000000009</v>
    <v>6.89</v>
    <v>USD</v>
    <v>Adecoagro SA</v>
    <v>Adecoagro SA</v>
    <v>35.555199999999999</v>
    <v>8.2200000000000006</v>
    <v>Food &amp; Tobacco</v>
    <v>28 Boulevard F.W. Raiffeisen, LUXEMBOURG, 2411 LU</v>
    <v>AGRO</v>
    <v>Acciones</v>
    <v>Adecoagro SA (XNYS:AGRO)</v>
    <v>15</v>
    <v>1318182</v>
  </rv>
  <rv s="2">
    <v>275</v>
  </rv>
  <rv s="0">
    <v>https://www.bing.com/financeapi/forcetrigger?t=a1x18m&amp;q=XNYS%3aLND&amp;form=skydnc</v>
    <v>Learn more on Bing</v>
  </rv>
  <rv s="14">
    <v>es-ES</v>
    <v>a1x18m</v>
    <v>268435456</v>
    <v>1</v>
    <v>Con tecnología de Refinitiv</v>
    <v>46</v>
    <v>47</v>
    <v>BrasilAgro - Brazilian Agricultural Real Estate Company (XNYS:LND)</v>
    <v>3</v>
    <v>48</v>
    <v>Finance</v>
    <v>34</v>
    <v>XNYS</v>
    <v>102683400</v>
    <v>2005</v>
    <v>3.69</v>
    <v>0.28260000000000002</v>
    <v>7.0000000000000007E-2</v>
    <v>1.9074000000000001E-2</v>
    <v>384029000</v>
    <v>3.67</v>
    <v>BrasilAgro - Companhia Brasileira de Propriedades Agrícolas es una empresa con sede en Brasil. Su negocio principal consiste en la adquisición, desarrollo, operación y venta de propiedades rurales aptas para actividades agrícolas. Las actividades de la Compañía se llevan a cabo a través de un segmento operativo: La comercialización de propiedades, mediante compra, venta o arrendamiento, y la producción y comercialización de productos agrícolas. BrasilAgro es un productor de granos, algodón, caña de azúcar y ganado. La Compañía gestiona activamente sus operaciones combinando los rendimientos generados por las propiedades y operaciones de BrasilAgro, mientras mitiga los riesgos climáticos y de cultivos a través de la diversificación geográfica y la obtención de altos rendimientos en las propiedades rurales.</v>
    <v>XNYS</v>
    <v>46034.957599455469</v>
    <v>New York Stock Exchange</v>
    <v>277</v>
    <v>3.75</v>
    <v>4.03</v>
    <v>3.6701000000000001</v>
    <v>3.47</v>
    <v>USD</v>
    <v>BrasilAgro - Brazilian Agricultural Real Estate Company</v>
    <v>BrasilAgro - Brazilian Agricultural Real Estate Company</v>
    <v>3.74</v>
    <v>Food &amp; Tobacco</v>
    <v>Avenida Reboucas, n. 2.984, Conj, 61 e 62 6 andar, Pinheiros, SAO PAULO, SAO PAULO, 05.402-500 BR</v>
    <v>LND</v>
    <v>Acciones</v>
    <v>BrasilAgro - Brazilian Agricultural Real Estate Company (XNYS:LND)</v>
    <v>168</v>
    <v>49934</v>
  </rv>
  <rv s="2">
    <v>278</v>
  </rv>
  <rv s="15">
    <v>es-ES</v>
    <v>ce7jkr</v>
    <v>268435456</v>
    <v>1</v>
    <v>Con tecnología de Refinitiv</v>
    <v>49</v>
    <v>50</v>
    <v>AGROMETAL SOC ANON IND (XBUE:AGROC)</v>
    <v>13</v>
    <v>51</v>
    <v>Finance</v>
    <v>XBUE</v>
    <v>1200000000</v>
    <v>1958</v>
    <v>1.1442000000000001</v>
    <v>Agrometal SAI es una empresa argentina dedicada a la fabricación de maquinaria agrícola para la rotura de suelos y siembra. La gama de productos de la Compañía incluye sembradoras de grano fino y grueso, que se comercializan bajo la marca Agrometal directamente desde sus instalaciones de producción en el municipio de Monte Maiz y a través de una red de distribuidores a nivel nacional. También proporciona capacitación técnica para sus clientes, así como soporte postventa y línea directa de atención al cliente.</v>
    <v>396</v>
    <v>XBUE</v>
    <v>Bolsa de Comercio de Buenos Aires</v>
    <v>0</v>
    <v>0</v>
    <v>USD</v>
    <v>AGROMETAL SOC ANON IND</v>
    <v>AGROMETAL SOC ANON IND</v>
    <v>Machinery, Equipment &amp; Components</v>
    <v>Misiones 1974 - Monte Maiz, CORDOBA, CORDOBA, 2659 AR</v>
    <v>AGROC</v>
    <v>Acciones</v>
    <v>AGROMETAL SOC ANON IND (XBUE:AGROC)</v>
    <v>1670490</v>
  </rv>
  <rv s="2">
    <v>280</v>
  </rv>
  <rv s="0">
    <v>https://www.bing.com/financeapi/forcetrigger?t=a1xv4c&amp;q=XNYS%3aMOS&amp;form=skydnc</v>
    <v>Learn more on Bing</v>
  </rv>
  <rv s="10">
    <v>es-ES</v>
    <v>a1xv4c</v>
    <v>268435456</v>
    <v>1</v>
    <v>Con tecnología de Refinitiv</v>
    <v>31</v>
    <v>32</v>
    <v>THE MOSAIC COMPANY (XNYS:MOS)</v>
    <v>3</v>
    <v>35</v>
    <v>Finance</v>
    <v>34</v>
    <v>XNYS</v>
    <v>317407900</v>
    <v>2004</v>
    <v>26.01</v>
    <v>0.97840000000000005</v>
    <v>-0.26</v>
    <v>-1.0008E-2</v>
    <v>8163731188</v>
    <v>25.98</v>
    <v>The Mosaic Company es un productor y comercializador de nutrientes concentrados de fosfato y potasa. Los segmentos de la Compañía incluyen Fosfatos, Potasa y Mosaico Fertilizantes. El segmento de fosfatos vende nutrientes de cultivos a base de fosfatos e ingredientes de piensos para animales en América del Norte e internacionalmente. El segmento de negocios de Potash posee y opera minas de potasa e instalaciones de producción en Canadá y los Estados Unidos, que produce nutrientes para cultivos a base de potasa, ingredientes para piensos para animales y productos industriales, y se vende tanto en el país como en el internacional. El segmento Mosaic Fertilizantes produce y vende nutrientes para cultivos a base de fosfato y potasa, e ingredientes para piensos para animales, en Brasil. Además de las minas de roca de fosfato y las plantas químicas, este segmento consta de oficinas de ventas, instalaciones de mezcla de nutrientes y ensacado de cultivos, terminales portuarias y almacenes en Brasil y Paraguay. Este segmento también sirve como salida de distribución para sus segmentos de fosfatos y potasa.</v>
    <v>10454</v>
    <v>XNYS</v>
    <v>46035.03067547422</v>
    <v>New York Stock Exchange</v>
    <v>282</v>
    <v>26.2</v>
    <v>38.229999999999997</v>
    <v>25.42</v>
    <v>22.36</v>
    <v>USD</v>
    <v>THE MOSAIC COMPANY</v>
    <v>THE MOSAIC COMPANY</v>
    <v>6.6811999999999996</v>
    <v>25.72</v>
    <v>Chemicals</v>
    <v>101 East Kennedy Blvd., Suite 2500, TAMPA, FL, 33602 US</v>
    <v>MOS</v>
    <v>Acciones</v>
    <v>THE MOSAIC COMPANY (XNYS:MOS)</v>
    <v>6913</v>
    <v>7534921</v>
  </rv>
  <rv s="2">
    <v>283</v>
  </rv>
  <rv s="0">
    <v>https://www.bing.com/financeapi/forcetrigger?t=azfvim&amp;q=XNAS%3aBIOX&amp;form=skydnc</v>
    <v>Learn more on Bing</v>
  </rv>
  <rv s="10">
    <v>es-ES</v>
    <v>azfvim</v>
    <v>268435456</v>
    <v>1</v>
    <v>Con tecnología de Refinitiv</v>
    <v>31</v>
    <v>32</v>
    <v>Bioceres Crop Solutions Corp. (XNAS:BIOX)</v>
    <v>3</v>
    <v>35</v>
    <v>Finance</v>
    <v>34</v>
    <v>XNAS</v>
    <v>63478810</v>
    <v>2017</v>
    <v>1.25</v>
    <v>0.5</v>
    <v>-7.0000000000000007E-2</v>
    <v>-5.5556000000000001E-2</v>
    <v>75539783</v>
    <v>1.26</v>
    <v>Bioceres Crop Solutions Corp. Es un proveedor de tecnologías de productividad de cultivos diseñadas para permitir la transición de la agricultura hacia la neutralidad de carbono. Sus segmentos incluyen semillas y productos integrados, protección de cultivos y nutrición de cultivos. El segmento de semillas y productos integrados se centra en el desarrollo y comercialización de tecnologías y productos de semillas, incluyendo el suministro de tecnologías de semillas integradas con productos de protección de cultivos y nutrición de cultivos diseñados para controlar malezas, insectos o enfermedades, para aumentar sus características de calidad. El segmento de protección de cultivos incluye el desarrollo, la producción y la comercialización de adyuvantes y una gama de moléculas de control de plagas y productos de control biológico. El segmento de nutrición de cultivos se centra en el desarrollo, producción y comercialización de inoculantes que permiten la fijación biológica de nitrógeno en los cultivos, y de fertilizantes, incluidos biofertilizantes y fertilizantes microgranulados que optimizan la productividad y el rendimiento de los cultivos.</v>
    <v>751</v>
    <v>XNAS</v>
    <v>46035.028433032028</v>
    <v>Nasdaq Stock Market</v>
    <v>285</v>
    <v>1.2749999999999999</v>
    <v>7.4379999999999997</v>
    <v>1.17</v>
    <v>1.17</v>
    <v>USD</v>
    <v>Bioceres Crop Solutions Corp.</v>
    <v>Bioceres Crop Solutions Corp.</v>
    <v>0</v>
    <v>1.19</v>
    <v>Chemicals</v>
    <v>Ocampo 210 bis, Predio CCT, ROSARIO, SANTA FE AR</v>
    <v>BIOX</v>
    <v>Acciones</v>
    <v>Bioceres Crop Solutions Corp. (XNAS:BIOX)</v>
    <v>138</v>
    <v>468907</v>
  </rv>
  <rv s="2">
    <v>286</v>
  </rv>
  <rv s="0">
    <v>https://www.bing.com/financeapi/forcetrigger?t=a1qvjc&amp;q=XNYS%3aDE&amp;form=skydnc</v>
    <v>Learn more on Bing</v>
  </rv>
  <rv s="10">
    <v>es-ES</v>
    <v>a1qvjc</v>
    <v>268435456</v>
    <v>1</v>
    <v>Con tecnología de Refinitiv</v>
    <v>31</v>
    <v>32</v>
    <v>DEERE &amp; COMPANY (XNYS:DE)</v>
    <v>3</v>
    <v>35</v>
    <v>Finance</v>
    <v>34</v>
    <v>XNYS</v>
    <v>270445400</v>
    <v>1958</v>
    <v>486.32</v>
    <v>1.0284</v>
    <v>2.66</v>
    <v>5.45E-3</v>
    <v>132718375596</v>
    <v>488.08</v>
    <v>Deere &amp; Company se dedica a la entrega de equipos agrícolas, de construcción y forestales. Sus segmentos incluyen la agricultura de producción y precisión (PPA), la agricultura y el césped pequeños (SAT), la construcción y la silvicultura (CF) y los servicios financieros (FS). El segmento PPA define, desarrolla y ofrece equipos y soluciones tecnológicas globales para productores a escala de producción de granos grandes, granos pequeños, algodón y caña de azúcar. SAT Segment define, desarrolla y ofrece soluciones globales de equipos y tecnología para productores de productos lácteos y ganaderos, productores de cultivos de alto valor y de pequeña superficie, y clientes de césped y servicios públicos. CF Segment define, desarrolla y ofrece una gama de máquinas y soluciones tecnológicas organizadas a lo largo de los sistemas de producción de movimiento de tierras, silvicultura y construcción de carreteras. El segmento FS financia las ventas y arrendamientos por parte de los distribuidores John Deere de equipos de producción y agricultura de precisión nuevos y usados y otros. Sus productos incluyen John Deere Autonomous 8R Tractor y retroexcavadora E-Power.</v>
    <v>73100</v>
    <v>XNYS</v>
    <v>46034.998220532034</v>
    <v>New York Stock Exchange</v>
    <v>288</v>
    <v>497.02</v>
    <v>533.78</v>
    <v>484.33</v>
    <v>404.42</v>
    <v>USD</v>
    <v>DEERE &amp; COMPANY</v>
    <v>DEERE &amp; COMPANY</v>
    <v>26.517199999999999</v>
    <v>490.74</v>
    <v>Machinery, Equipment &amp; Components</v>
    <v>One John Deere Place, MOLINE, IL, 61265 US</v>
    <v>DE</v>
    <v>Acciones</v>
    <v>DEERE &amp; COMPANY (XNYS:DE)</v>
    <v>552</v>
    <v>1395021</v>
  </rv>
  <rv s="2">
    <v>289</v>
  </rv>
  <rv s="0">
    <v>https://www.bing.com/financeapi/forcetrigger?t=a1oeww&amp;q=XNYS%3aBG&amp;form=skydnc</v>
    <v>Learn more on Bing</v>
  </rv>
  <rv s="10">
    <v>es-ES</v>
    <v>a1oeww</v>
    <v>268435456</v>
    <v>1</v>
    <v>Con tecnología de Refinitiv</v>
    <v>31</v>
    <v>32</v>
    <v>Bunge Global Ltd (XNYS:BG)</v>
    <v>3</v>
    <v>35</v>
    <v>Finance</v>
    <v>34</v>
    <v>XNYS</v>
    <v>193361100</v>
    <v>2023</v>
    <v>100.33</v>
    <v>0.77659999999999996</v>
    <v>1.03</v>
    <v>1.0300999999999999E-2</v>
    <v>19533338322</v>
    <v>99.99</v>
    <v>Bunge Global SA es una compañía global de agroindustria y alimentos. La Compañía se dedica al procesamiento de semillas oleaginosas y a la producción y suministro de aceites y grasas vegetales especiales. Sus segmentos incluyen Agroindustria, Aceites Refinados y Especiales, y los segmentos de Milling. El segmento agroindustrial se dedica principalmente a la compra, almacenamiento, transporte, procesamiento y venta de productos básicos agrícolas. El segmento de Aceites Refinados y Especiales involucra el procesamiento, producción y comercialización de productos derivados de aceites y grasas vegetales, incluyendo aceites de cocina, manteca, ingredientes especiales y materias primas diésel renovables. El segmento de molienda implica el procesamiento, producción y comercialización de productos derivados principalmente del trigo y el maíz. Sirve a un conjunto diverso de industrias, incluyendo alimentación animal y alimentos para mascotas, panadería, bebidas, biocombustibles, confitería, etc. bocadillos culinarios y freír, lácteos, servicio de alimentos, carne, nutrición, cuidado personal, y más.</v>
    <v>37000</v>
    <v>XNYS</v>
    <v>46035.005185821094</v>
    <v>New York Stock Exchange</v>
    <v>291</v>
    <v>101.48</v>
    <v>101.48</v>
    <v>99.59</v>
    <v>67.400000000000006</v>
    <v>USD</v>
    <v>Bunge Global Ltd</v>
    <v>Bunge Global Ltd</v>
    <v>10.858599999999999</v>
    <v>101.02</v>
    <v>Food &amp; Tobacco</v>
    <v>1391 Timberlake Manor Parkway, CHESTERFIELD, MO, 63017 US</v>
    <v>BG</v>
    <v>Acciones</v>
    <v>Bunge Global Ltd (XNYS:BG)</v>
    <v>146</v>
    <v>1410956</v>
  </rv>
  <rv s="2">
    <v>292</v>
  </rv>
  <rv s="0">
    <v>https://www.bing.com/financeapi/forcetrigger?t=a256im&amp;q=XNYS%3aVALE&amp;form=skydnc</v>
    <v>Learn more on Bing</v>
  </rv>
  <rv s="10">
    <v>es-ES</v>
    <v>a256im</v>
    <v>268435456</v>
    <v>1</v>
    <v>Con tecnología de Refinitiv</v>
    <v>31</v>
    <v>32</v>
    <v>Vale SA (XNYS:VALE)</v>
    <v>3</v>
    <v>35</v>
    <v>Finance</v>
    <v>34</v>
    <v>XNYS</v>
    <v>4539008000</v>
    <v>1943</v>
    <v>14.03</v>
    <v>0.56779999999999997</v>
    <v>-7.4999999999999997E-2</v>
    <v>-5.3690000000000005E-3</v>
    <v>62948630000</v>
    <v>13.97</v>
    <v>Vale SA, anteriormente Companhia Vale do Rio Doce, es una empresa metalúrgica y minera con sede en Brasil que se dedica principalmente a la producción de mineral de hierro y níquel. La Compañía también produce pellets de mineral de hierro, cobre, metales del grupo del platino (PGM), oro, plata y cobalto. Vale se dedica a la exploración de minerales en cinco países y opera sistemas logísticos en Brasil y otras regiones del mundo, incluyendo ferrocarriles, terminales marítimas y puertos, que están integrados con las operaciones mineras. Además, Vale tiene centros de distribución para apoyar la entrega de mineral de hierro en todo el mundo. Vale tiene numerosas filiales, incluyendo Vale Logistica Uruguay SA, Vale Holdings BV, Vale Overseas Ltd. Las operaciones de la Compañía en el extranjero cubren aproximadamente 30 países.</v>
    <v>64616</v>
    <v>XNYS</v>
    <v>46035.038821075781</v>
    <v>New York Stock Exchange</v>
    <v>294</v>
    <v>14.0793</v>
    <v>14.375</v>
    <v>13.86</v>
    <v>8.0549999999999997</v>
    <v>USD</v>
    <v>Vale SA</v>
    <v>Vale SA</v>
    <v>10.462400000000001</v>
    <v>13.895</v>
    <v>Metals &amp; Mining</v>
    <v>Torre Oscar Niemeyer, Praia de Botafogo n 186 Salas 1101 1701 1801, Botafogo, RIO DE JANEIRO, RIO DE JANEIRO, 22.250-145 BR</v>
    <v>VALE</v>
    <v>Acciones</v>
    <v>Vale SA (XNYS:VALE)</v>
    <v>98850</v>
    <v>31129533</v>
  </rv>
  <rv s="2">
    <v>295</v>
  </rv>
  <rv s="9">
    <v>es-ES</v>
    <v>a24yz2</v>
    <v>268435456</v>
    <v>1</v>
    <v>Con tecnología de Refinitiv</v>
    <v>27</v>
    <v>28</v>
    <v>Glbl X Uranium ETF (ARCX:URA)</v>
    <v>8</v>
    <v>29</v>
    <v>Finance</v>
    <v>30</v>
    <v>ARCX</v>
    <v>51.13</v>
    <v>0.43099999999999999</v>
    <v>1.45</v>
    <v>2.8820999999999999E-2</v>
    <v>5306268245.4899998</v>
    <v>50.31</v>
    <v>46035.041667325779</v>
    <v>6.8999999999999999E-3</v>
    <v>NYSE Arca</v>
    <v>34</v>
    <v>52.05</v>
    <v>60.505000000000003</v>
    <v>50.42</v>
    <v>19.5</v>
    <v>USD</v>
    <v>Glbl X Uranium ETF</v>
    <v>51.76</v>
    <v>URA</v>
    <v>ETF</v>
    <v>Glbl X Uranium ETF (ARCX:URA)</v>
    <v>69361</v>
    <v>4560410</v>
  </rv>
  <rv s="2">
    <v>297</v>
  </rv>
  <rv s="0">
    <v>https://www.bing.com/financeapi/forcetrigger?t=a1vo7w&amp;q=XNYS%3aIP&amp;form=skydnc</v>
    <v>Learn more on Bing</v>
  </rv>
  <rv s="10">
    <v>es-ES</v>
    <v>a1vo7w</v>
    <v>268435456</v>
    <v>1</v>
    <v>Con tecnología de Refinitiv</v>
    <v>31</v>
    <v>32</v>
    <v>INTERNATIONAL PAPER COMPANY (XNYS:IP)</v>
    <v>3</v>
    <v>35</v>
    <v>Finance</v>
    <v>34</v>
    <v>XNYS</v>
    <v>528038300</v>
    <v>1941</v>
    <v>42.71</v>
    <v>1.0972</v>
    <v>-0.98</v>
    <v>-2.2612E-2</v>
    <v>22367702388</v>
    <v>43.34</v>
    <v>International Paper Company ofrece soluciones de embalaje sostenibles. La Compañía es un productor global de productos de embalaje y pulpa a base de fibra renovable. Sus segmentos incluyen Packaging Solutions North America, Packaging Solutions EMEA y Global Celulosa Fibers. Los segmentos de Norteamérica y Soluciones de Embalaje EMEA se centran principalmente en la producción de envases a base de fibra. Produce linerboard, medium, whitetop, linerboard reciclado, medio reciclado y kraft saturante, de los cuales la mayoría de su producción se convierte en envases corrugados y otros envases. El segmento global de fibras de celulosa se centra principalmente en la producción de fibras de celulosa, que es una materia prima renovable utilizada en una variedad de productos de los que la gente depende todos los días, como pañales, toallas y productos de tejidos, cuidado femenino, incontinencia y otros productos de cuidado personal. Sus pulpas especiales sirven como una materia prima sostenible utilizada en textiles, materiales de construcción, pinturas, recubrimientos y más.</v>
    <v>37000</v>
    <v>XNYS</v>
    <v>46035.000000010936</v>
    <v>New York Stock Exchange</v>
    <v>299</v>
    <v>43.015799999999999</v>
    <v>60.15</v>
    <v>42.17</v>
    <v>35.56</v>
    <v>USD</v>
    <v>INTERNATIONAL PAPER COMPANY</v>
    <v>INTERNATIONAL PAPER COMPANY</v>
    <v>0</v>
    <v>42.36</v>
    <v>Containers &amp; Packaging</v>
    <v>6400 Poplar Avenue, MEMPHIS, TN, 38197 US</v>
    <v>IP</v>
    <v>Acciones</v>
    <v>INTERNATIONAL PAPER COMPANY (XNYS:IP)</v>
    <v>108</v>
    <v>4476700</v>
  </rv>
  <rv s="2">
    <v>300</v>
  </rv>
  <rv s="0">
    <v>https://www.bing.com/financeapi/forcetrigger?t=bpifbh&amp;q=XNYS%3aDOW&amp;form=skydnc</v>
    <v>Learn more on Bing</v>
  </rv>
  <rv s="10">
    <v>es-ES</v>
    <v>bpifbh</v>
    <v>268435456</v>
    <v>1</v>
    <v>Con tecnología de Refinitiv</v>
    <v>31</v>
    <v>32</v>
    <v>Dow Inc. (XNYS:DOW)</v>
    <v>3</v>
    <v>35</v>
    <v>Finance</v>
    <v>34</v>
    <v>XNYS</v>
    <v>710767400</v>
    <v>2018</v>
    <v>26.35</v>
    <v>0.77749999999999997</v>
    <v>0.17</v>
    <v>6.4570000000000009E-3</v>
    <v>18835336100</v>
    <v>26.33</v>
    <v>Dow Inc. Sirve como una compañía holding para The Dow Chemical Company y sus subsidiarias. La Compañía lleva a cabo sus operaciones a través de seis empresas globales, que están organizadas en segmentos, como el embalaje y los plásticos especiales, los intermedios industriales y la infraestructura y los materiales y revestimientos de alto rendimiento. El segmento de envases y plásticos especiales consta de dos empresas globales integradas: Hidrocarburos y energía y envases y plásticos especiales. Este segmento emplea una cartera de productos de poliolefina. El segmento de intermedios industriales e infraestructura consta de dos empresas globales centradas en el cliente: Soluciones industriales y poliuretanos y productos químicos de construcción que desarrollan productos químicos intermedios que son esenciales para los procesos de fabricación, así como materiales y formulaciones personalizadas posteriores que utilizan tecnologías de desarrollo avanzadas. El segmento Performance Materials &amp; Coatings consta de dos negocios globales: Recubrimientos y monómeros de rendimiento y soluciones para el consumidor.</v>
    <v>36000</v>
    <v>XNYS</v>
    <v>46035.03766219844</v>
    <v>New York Stock Exchange</v>
    <v>302</v>
    <v>26.614999999999998</v>
    <v>42.173999999999999</v>
    <v>26.07</v>
    <v>20.401900000000001</v>
    <v>USD</v>
    <v>Dow Inc.</v>
    <v>Dow Inc.</v>
    <v>0</v>
    <v>26.5</v>
    <v>Chemicals</v>
    <v>2211 H.H. Dow Way, MIDLAND, MI, 48674 US</v>
    <v>DOW</v>
    <v>Acciones</v>
    <v>Dow Inc. (XNYS:DOW)</v>
    <v>31476</v>
    <v>10751917</v>
  </rv>
  <rv s="2">
    <v>303</v>
  </rv>
  <rv s="0">
    <v>https://www.bing.com/financeapi/forcetrigger?t=a1rfsm&amp;q=XNYS%3aDD&amp;form=skydnc</v>
    <v>Learn more on Bing</v>
  </rv>
  <rv s="11">
    <v>es-ES</v>
    <v>a1rfsm</v>
    <v>268435456</v>
    <v>1</v>
    <v>Con tecnología de Refinitiv</v>
    <v>36</v>
    <v>37</v>
    <v>DuPont de Nemours, Inc. (XNYS:DD)</v>
    <v>3</v>
    <v>38</v>
    <v>Finance</v>
    <v>34</v>
    <v>XNYS</v>
    <v>418975300</v>
    <v>2015</v>
    <v>43.89</v>
    <v>1.085</v>
    <v>-0.38</v>
    <v>-8.6739999999999994E-3</v>
    <v>18196097279</v>
    <v>43.81</v>
    <v>DuPont de Nemours, Inc. Se dedica a proporcionar soluciones avanzadas que ayudan a transformar las industrias. La Compañía presta servicios a varios mercados, incluyendo la salud, el agua, la construcción y el transporte. El segmento de IndustrialsCo de la compañía es un proveedor de productos de ingeniería y soluciones integradas que sirven principalmente a los servicios médicos, incluyendo embalajes y dispositivos médicos especiales, filtración de agua, seguridad de los trabajadores, automoción, incluyendo vehículos eléctricos, etc. mercados de productos finales aeroespaciales y de construcción. El segmento IndustrialsCo ofrece envases médicos, siliconas médicas, dispositivos médicos especializados, purificación y separación de agua, resinas de filtración y purificación de agua, productos de embalaje flexible, no tejidos, aramidas, materiales de construcción, materiales de construcción, etc. adhesivos y fluidos automáticos.</v>
    <v>24000</v>
    <v>XNYS</v>
    <v>46035.040037164064</v>
    <v>New York Stock Exchange</v>
    <v>305</v>
    <v>44</v>
    <v>44.15</v>
    <v>43.26</v>
    <v>22.4892</v>
    <v>USD</v>
    <v>DuPont de Nemours, Inc.</v>
    <v>DuPont de Nemours, Inc.</v>
    <v>43.43</v>
    <v>Electronic Equipment &amp; Parts</v>
    <v>974 Centre Rd Bldg 730, WILMINGTON, DE, 19805 US</v>
    <v>DD</v>
    <v>Acciones</v>
    <v>DuPont de Nemours, Inc. (XNYS:DD)</v>
    <v>461</v>
    <v>4690480</v>
  </rv>
  <rv s="2">
    <v>306</v>
  </rv>
  <rv s="0">
    <v>https://www.bing.com/financeapi/forcetrigger?t=a1yxkr&amp;q=XNYS%3aNXE&amp;form=skydnc</v>
    <v>Learn more on Bing</v>
  </rv>
  <rv s="11">
    <v>es-ES</v>
    <v>a1yxkr</v>
    <v>268435456</v>
    <v>1</v>
    <v>Con tecnología de Refinitiv</v>
    <v>36</v>
    <v>37</v>
    <v>NEXGEN ENERGY LTD. (XNYS:NXE)</v>
    <v>3</v>
    <v>52</v>
    <v>Finance</v>
    <v>34</v>
    <v>XNYS</v>
    <v>607911200</v>
    <v>2013</v>
    <v>10.85</v>
    <v>1.8994</v>
    <v>0.37</v>
    <v>3.4451000000000002E-2</v>
    <v>9070035000</v>
    <v>10.74</v>
    <v>NexGen Energy Ltd. Es una empresa canadiense enfocada en entregar combustible de energía limpia para el futuro. Se dedica a la adquisición, exploración, evaluación y desarrollo de propiedades de uranio en Canadá. Se centra en desarrollar de manera óptima el Proyecto Rook I. Tiene una cartera de proyectos altamente prospectivos, incluyendo su propiedad 100% propiedad de Rook I que alberga el depósito Arrow de alto grado, South Arrow, Harpoon, Bow, y el área Cannon. El Proyecto Rook I es un proyecto de uranio en fase de desarrollo en Canadá. El nuevo desarrollo de minas y molinos subterráneos se encuentra en el distrito rico en uranio de la zona suroeste de la cuenca de Athabasca, ubicada en Saskatchewan. Arrow es un descubrimiento de uranio 100% basado en tierra, alojado en sótanos y de alto grado. El Proyecto Rook I, anfitrión del depósito Arrow, que es un proyecto de uranio en etapa de desarrollo en Canadá y es 100% propiedad de NexGen Energy Ltd. La propiedad Rook I alberga el Harpoon Discovery situado a 4,7 km al noreste del depósito Arrow.</v>
    <v>133</v>
    <v>XNYS</v>
    <v>46035.041640613279</v>
    <v>New York Stock Exchange</v>
    <v>308</v>
    <v>11.19</v>
    <v>11.33</v>
    <v>10.63</v>
    <v>3.91</v>
    <v>USD</v>
    <v>NEXGEN ENERGY LTD.</v>
    <v>NEXGEN ENERGY LTD.</v>
    <v>11.11</v>
    <v>Uranium</v>
    <v>3150 - 1021 West Hastings Street, VANCOUVER, BC, V6E 0C3 CA</v>
    <v>NXE</v>
    <v>Acciones</v>
    <v>NEXGEN ENERGY LTD. (XNYS:NXE)</v>
    <v>47285</v>
    <v>7452491</v>
  </rv>
  <rv s="2">
    <v>309</v>
  </rv>
  <rv s="0">
    <v>https://creativecommons.org/licenses/by-sa/3.0</v>
    <v>CC BY-SA 3.0</v>
  </rv>
  <rv s="0">
    <v>http://fr.wikipedia.org/wiki/Companhia_Siderúrgica_Nacional</v>
    <v>Wikipedia</v>
  </rv>
  <rv s="16">
    <v>311</v>
    <v>312</v>
  </rv>
  <rv s="17">
    <v>58</v>
    <v>https://www.bing.com/th?id=AMMS_e8b96267310f0adc32724679940e7adf&amp;qlt=95</v>
    <v>313</v>
    <v>0</v>
    <v>https://www.bing.com/images/search?form=xlimg&amp;q=companhia+sider%c3%bargica+nacional</v>
    <v>Image of National Steel Company</v>
  </rv>
  <rv s="0">
    <v>https://www.bing.com/financeapi/forcetrigger?t=a22xvh&amp;q=XNYS%3aSID&amp;form=skydnc</v>
    <v>Learn more on Bing</v>
  </rv>
  <rv s="18">
    <v>es-ES</v>
    <v>a22xvh</v>
    <v>268435456</v>
    <v>1</v>
    <v>Con tecnología de Refinitiv</v>
    <v>53</v>
    <v>54</v>
    <v>National Steel Company (XNYS:SID)</v>
    <v>56</v>
    <v>57</v>
    <v>Finance</v>
    <v>34</v>
    <v>XNYS</v>
    <v>1326094000</v>
    <v>1941</v>
    <v>1.87</v>
    <v>1.6281000000000001</v>
    <v>5.0000000000000001E-3</v>
    <v>2.6879999999999999E-3</v>
    <v>2425721000</v>
    <v>1.86</v>
    <v>Compañía Siderurgica Nacional SA es una empresa con sede en Brasil. Opera en cinco sectores estratégicos de la economía: Acero, minería, logística, cemento y energía. El sector siderúrgico de la Compañía opera en toda la cadena de producción de acero, desde la extracción de mineral de hierro hasta la producción y venta de una amplia gama de productos de acero, incluyendo láminas recubiertas, acero galvanizado, acero prepintado, láminas de metal y productos de acero largos (barras de refuerzo y alambrón). El sector minero es responsable de la exportación de mineral de hierro. El sector cementero es responsable de la producción de cemento. El sector logístico presta servicios integrales de logística (carretera, ferrocarril, portuario), mientras que el sector energético gestiona la Planta de Cogeneración Térmica instalada en la siderurgia Presidente Vargas en Volta Redonda y las centrales hidroeléctricas de Itae Igarapava.</v>
    <v>24924</v>
    <v>XNYS</v>
    <v>46035.017351539063</v>
    <v>314</v>
    <v>New York Stock Exchange</v>
    <v>315</v>
    <v>1.88</v>
    <v>1.91</v>
    <v>1.8340000000000001</v>
    <v>1.24</v>
    <v>USD</v>
    <v>National Steel Company</v>
    <v>National Steel Company</v>
    <v>1.865</v>
    <v>Metals &amp; Mining</v>
    <v>Av. Brigadeiro Faria Lima, 3400, 19 andar, Itaim Bibi, SAO PAULO, SAO PAULO, 04.538-132 BR</v>
    <v>SID</v>
    <v>Acciones</v>
    <v>National Steel Company (XNYS:SID)</v>
    <v>10112</v>
    <v>3005845</v>
  </rv>
  <rv s="2">
    <v>316</v>
  </rv>
  <rv s="0">
    <v>https://www.bing.com/financeapi/forcetrigger?t=a2xezr&amp;q=XNYS%3aSUZ&amp;form=skydnc</v>
    <v>Learn more on Bing</v>
  </rv>
  <rv s="19">
    <v>es-ES</v>
    <v>a2xezr</v>
    <v>268435456</v>
    <v>1</v>
    <v>Con tecnología de Refinitiv</v>
    <v>59</v>
    <v>60</v>
    <v>Suzano Inc. (XNYS:SUZ)</v>
    <v>3</v>
    <v>61</v>
    <v>Finance</v>
    <v>45</v>
    <v>XNYS</v>
    <v>9.6</v>
    <v>0.78700000000000003</v>
    <v>0.11</v>
    <v>1.1517999999999999E-2</v>
    <v>9.5500000000000007</v>
    <v>Suzano SA, anteriormente Suzano Papel e Celulose SA es una empresa forestal con sede en Brasil. Es un desarrollador de productos elaborados a partir de bosques de eucalipto y un productor verticalmente integrado de pulpa y papel de eucalipto en América Latina. Su propósito es fabricar, comerciar, importar y exportar pulpa, papel y otros productos. La cartera de productos de la Compañía incluye papel de impresión y escritura recubierto y sin recubrimiento, cartón, papel de seda, pulpa de mercado y pulpa de pelusa. Las operaciones de Suzano se dividen en dos segmentos: Pulpa y Papel. El segmento de celulosa incluye la producción y comercialización de celulosa de eucalipto para el mercado exterior, con el excedente destinado al mercado interno, mientras que el segmento de papel cubre las actividades de producción y venta de cartón y tejido sin recubrir y recubierto. La compañía cuenta con numerosas filiales, incluyendo Fibria Terminal de Celulose de Santos Spe SA, FuturaGene Biotechnology Shanghai Co Ltd y Suzano Pulp and Paper Europe SA.</v>
    <v>XNYS</v>
    <v>46034.882437279688</v>
    <v>New York Stock Exchange</v>
    <v>318</v>
    <v>9.7249999999999996</v>
    <v>10.86</v>
    <v>9.6</v>
    <v>8.41</v>
    <v>USD</v>
    <v>Suzano Inc.</v>
    <v>Suzano Inc.</v>
    <v>9.66</v>
    <v>Av. Professor Magalhaes Neto,1752 - 10 andar, Salas 1009/1010/1011, Pituba, SALVADOR, BAHIA, 41.810-012 BR</v>
    <v>SUZ</v>
    <v>Acciones</v>
    <v>Suzano Inc. (XNYS:SUZ)</v>
    <v>613</v>
    <v>2527118</v>
  </rv>
  <rv s="2">
    <v>319</v>
  </rv>
  <rv s="0">
    <v>https://www.bing.com/financeapi/forcetrigger?t=a1oh27&amp;q=XNYS%3aBHP&amp;form=skydnc</v>
    <v>Learn more on Bing</v>
  </rv>
  <rv s="10">
    <v>es-ES</v>
    <v>a1oh27</v>
    <v>268435456</v>
    <v>1</v>
    <v>Con tecnología de Refinitiv</v>
    <v>31</v>
    <v>32</v>
    <v>BHP GROUP LIMITED (XNYS:BHP)</v>
    <v>3</v>
    <v>35</v>
    <v>Finance</v>
    <v>34</v>
    <v>XNYS</v>
    <v>2539457000</v>
    <v>1885</v>
    <v>62.18</v>
    <v>0.81559999999999999</v>
    <v>1.08</v>
    <v>1.7498E-2</v>
    <v>162311900000</v>
    <v>61.72</v>
    <v>BHP Group Limited es una compañía de recursos con sede en Australia. La Compañía es un productor de materias primas, incluyendo mineral de hierro, cobre, níquel, potasa y carbón metalúrgico (siderúrgico). Se centra en ofrecer una gama de recursos, que proporcionan cobre para la energía renovable; níquel para los vehículos eléctricos; potasa para la agricultura sostenible, y mineral de hierro y carbón metalúrgico para el acero necesario para la infraestructura global y la transición energética. Sus segmentos incluyen cobre, mineral de hierro y carbón. Su segmento de cobre se dedica a la minería de cobre, plata, zinc, molibdeno, uranio, y el oro. Su segmento de mineral de hierro se dedica a la extracción de mineral de hierro. Su segmento de carbón se dedica a la minería de carbón metalúrgico y carbón de energía. La Compañía también se centra en la operación de minas subterráneas de cobre y oro de la presa olímpica, Prominent Hill y Carrapateena en el sur de Australia. Sus operaciones están situadas en Australia, Europa, China, Japón, India, Corea del Sur, resto de Asia, América del Norte, América del Sur, y otros.</v>
    <v>39958</v>
    <v>XNYS</v>
    <v>46035.041631782035</v>
    <v>New York Stock Exchange</v>
    <v>321</v>
    <v>63.5</v>
    <v>65.09</v>
    <v>62</v>
    <v>39.729999999999997</v>
    <v>USD</v>
    <v>BHP GROUP LIMITED</v>
    <v>BHP GROUP LIMITED</v>
    <v>17.6966</v>
    <v>62.8</v>
    <v>Metals &amp; Mining</v>
    <v>171 Collins Street, MELBOURNE, VICTORIA, 3000 AU</v>
    <v>BHP</v>
    <v>Acciones</v>
    <v>BHP GROUP LIMITED (XNYS:BHP)</v>
    <v>49580</v>
    <v>3185110</v>
  </rv>
  <rv s="2">
    <v>322</v>
  </rv>
  <rv s="0">
    <v>https://www.bing.com/financeapi/forcetrigger?t=a221mw&amp;q=XNYS%3aRIO&amp;form=skydnc</v>
    <v>Learn more on Bing</v>
  </rv>
  <rv s="10">
    <v>es-ES</v>
    <v>a221mw</v>
    <v>268435456</v>
    <v>1</v>
    <v>Con tecnología de Refinitiv</v>
    <v>31</v>
    <v>32</v>
    <v>RIO TINTO PLC (XNYS:RIO)</v>
    <v>3</v>
    <v>35</v>
    <v>Finance</v>
    <v>34</v>
    <v>XNYS</v>
    <v>1625509000</v>
    <v>1962</v>
    <v>81.84</v>
    <v>0.56299999999999994</v>
    <v>1.75</v>
    <v>2.1569999999999999E-2</v>
    <v>136782200000</v>
    <v>81.13</v>
    <v>Rio Tinto plc es una empresa de minería y materiales con sede en el Reino Unido. Opera en más de 35 países, y su cartera incluye mineral de hierro, cobre, aluminio y una gama de otros minerales y materiales. Sus segmentos incluyen mineral de hierro, aluminio, cobre y minerales. El segmento del mineral de hierro incluye la extracción de mineral de hierro y la producción de sal y yeso en Australia Occidental. Sus operaciones de mineral de hierro en Pilbara comprenden una red integrada de más de 18 minas de mineral de hierro y cuatro terminales portuarias independientes. El segmento de aluminio incluye la minería de bauxita, el refinado de alúmina y la fundición y reciclaje de aluminio. El segmento de cobre incluye la minería y refinación de cobre, oro, plata, molibdeno y otros subproductos y la concesión de licencias de tecnologías de extracción. El segmento de minerales incluye la extracción y el procesamiento de boratos, diamantes, concentrado de hierro y pellets de la Iron Ore Company of Canada, litio y dióxido de titanio como materia prima.</v>
    <v>59594</v>
    <v>XNYS</v>
    <v>46034.881944444445</v>
    <v>New York Stock Exchange</v>
    <v>324</v>
    <v>83.16</v>
    <v>85.46</v>
    <v>81.715000000000003</v>
    <v>51.67</v>
    <v>USD</v>
    <v>RIO TINTO PLC</v>
    <v>RIO TINTO PLC</v>
    <v>13.198700000000001</v>
    <v>82.88</v>
    <v>Metals &amp; Mining</v>
    <v>6 St James's Square, LONDON, SW1Y 4AD GB</v>
    <v>RIO</v>
    <v>Acciones</v>
    <v>RIO TINTO PLC (XNYS:RIO)</v>
    <v>103908</v>
    <v>3850593</v>
  </rv>
  <rv s="2">
    <v>325</v>
  </rv>
  <rv s="9">
    <v>es-ES</v>
    <v>a21vc7</v>
    <v>268435456</v>
    <v>1</v>
    <v>Con tecnología de Refinitiv</v>
    <v>27</v>
    <v>28</v>
    <v>VanEck:RE &amp; Str Metals (ARCX:REMX)</v>
    <v>8</v>
    <v>29</v>
    <v>Finance</v>
    <v>30</v>
    <v>ARCX</v>
    <v>87.85</v>
    <v>0.79290000000000005</v>
    <v>0</v>
    <v>0</v>
    <v>1627188826.0999999</v>
    <v>88.84</v>
    <v>46035.041667916405</v>
    <v>5.7999999999999996E-3</v>
    <v>NYSE Arca</v>
    <v>147</v>
    <v>89.528599999999997</v>
    <v>89.528599999999997</v>
    <v>87.15</v>
    <v>32.36</v>
    <v>USD</v>
    <v>VanEck:RE &amp; Str Metals</v>
    <v>88.84</v>
    <v>REMX</v>
    <v>ETF</v>
    <v>VanEck:RE &amp; Str Metals (ARCX:REMX)</v>
    <v>25061</v>
    <v>1073212</v>
  </rv>
  <rv s="2">
    <v>327</v>
  </rv>
</rvData>
</file>

<file path=xl/richData/rdrichvaluestructure.xml><?xml version="1.0" encoding="utf-8"?>
<rvStructures xmlns="http://schemas.microsoft.com/office/spreadsheetml/2017/richdata" count="20">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ow"/>
    <k n="Name" t="s"/>
    <k n="Official name" t="s"/>
    <k n="Open"/>
    <k n="Previous close"/>
    <k n="Price"/>
    <k n="Ticker symbol" t="s"/>
    <k n="UniqueName" t="s"/>
    <k n="Volume"/>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pertura"/>
    <k n="Beta"/>
    <k n="Cambio"/>
    <k n="Cambio (%)"/>
    <k n="Capitalización de mercado"/>
    <k n="Cierre anterior"/>
    <k n="Hora de la última operación"/>
    <k n="Índice de gastos"/>
    <k n="Intercambio" t="s"/>
    <k n="LearnMoreOnLink" t="r"/>
    <k n="Máximo"/>
    <k n="Máximo en 52 semanas"/>
    <k n="Mínimo"/>
    <k n="Mínimo en 52 semanas"/>
    <k n="Moneda" t="s"/>
    <k n="Nombre" t="s"/>
    <k n="Precio"/>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Cambio"/>
    <k n="Cambio (%)"/>
    <k n="Capitalización de mercado"/>
    <k n="Cierre anterior"/>
    <k n="Descripción" t="s"/>
    <k n="Empleados"/>
    <k n="ExchangeID" t="s"/>
    <k n="Hora de la última operación"/>
    <k n="Intercambio" t="s"/>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Abreviatura de intercambio" t="s"/>
    <k n="Acciones en circulación"/>
    <k n="Año de constitución"/>
    <k n="Beta"/>
    <k n="Descripción" t="s"/>
    <k n="Empleados"/>
    <k n="ExchangeID" t="s"/>
    <k n="Intercambio" t="s"/>
    <k n="Máximo en 52 semanas"/>
    <k n="Mínimo en 52 semanas"/>
    <k n="Moneda" t="s"/>
    <k n="Nombre" t="s"/>
    <k n="Nombre oficial" t="s"/>
    <k n="Sector" t="s"/>
    <k n="Sede central" t="s"/>
    <k n="Símbolo bursátil" t="s"/>
    <k n="Tipo de instrumento" t="s"/>
    <k n="UniqueName" t="s"/>
    <k n="Volumen promedio"/>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magen" t="r"/>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pertura"/>
    <k n="Beta"/>
    <k n="Cambio"/>
    <k n="Cambio (%)"/>
    <k n="Cierre anterior"/>
    <k n="Descripción" t="s"/>
    <k n="ExchangeID" t="s"/>
    <k n="Hora de la última operación"/>
    <k n="Intercambio" t="s"/>
    <k n="LearnMoreOnLink" t="r"/>
    <k n="Máximo"/>
    <k n="Máximo en 52 semanas"/>
    <k n="Mínimo"/>
    <k n="Mínimo en 52 semanas"/>
    <k n="Moneda" t="s"/>
    <k n="Nombre" t="s"/>
    <k n="Nombre oficial" t="s"/>
    <k n="Precio"/>
    <k n="Sede central" t="s"/>
    <k n="Símbolo bursátil" t="s"/>
    <k n="Tipo de instrumento" t="s"/>
    <k n="UniqueName" t="s"/>
    <k n="Volumen"/>
    <k n="Volumen promedio"/>
  </s>
</rvStructures>
</file>

<file path=xl/richData/rdsupportingpropertybag.xml><?xml version="1.0" encoding="utf-8"?>
<supportingPropertyBags xmlns="http://schemas.microsoft.com/office/spreadsheetml/2017/richdata2">
  <spbArrays count="16">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5">
      <v t="s">%EntityServiceId</v>
      <v t="s">_Format</v>
      <v t="s">%IsRefreshable</v>
      <v t="s">_CanonicalPropertyNames</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34">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Instrument type</v>
      <v t="s">_Flags</v>
      <v t="s">UniqueName</v>
      <v t="s">_DisplayString</v>
      <v t="s">ExchangeID</v>
      <v t="s">%ProviderInfo</v>
    </a>
    <a count="42">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2">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41">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27">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v t="s">%OutdatedReason</v>
    </a>
    <a count="35">
      <v t="s">%EntityServiceId</v>
      <v t="s">_Format</v>
      <v t="s">%IsRefreshable</v>
      <v t="s">_CanonicalPropertyNames</v>
      <v t="s">%EntityCulture</v>
      <v t="s">%EntityId</v>
      <v t="s">_Icon</v>
      <v t="s">_Display</v>
      <v t="s">Nombre</v>
      <v t="s">_SubLabel</v>
      <v t="s">Precio</v>
      <v t="s">Intercambio</v>
      <v t="s">Hora de la última operación</v>
      <v t="s">Símbolo bursátil</v>
      <v t="s">Abreviatura de intercambio</v>
      <v t="s">Cambio</v>
      <v t="s">Índice de gastos</v>
      <v t="s">Cambio (%)</v>
      <v t="s">Moneda</v>
      <v t="s">Cierre anterior</v>
      <v t="s">Apertura</v>
      <v t="s">Máximo</v>
      <v t="s">Mínimo</v>
      <v t="s">Máximo en 52 semanas</v>
      <v t="s">Mínimo en 52 semanas</v>
      <v t="s">Volumen</v>
      <v t="s">Volumen promedio</v>
      <v t="s">Capitalización de mercado</v>
      <v t="s">Beta</v>
      <v t="s">Tipo de instrumento</v>
      <v t="s">_Flags</v>
      <v t="s">UniqueName</v>
      <v t="s">_DisplayString</v>
      <v t="s">LearnMoreOnLink</v>
      <v t="s">%ProviderInfo</v>
    </a>
    <a count="43">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Empleados</v>
      <v t="s">Sede central</v>
      <v t="s">Sector</v>
      <v t="s">Tipo de instrumento</v>
      <v t="s">Año de constitución</v>
      <v t="s">_Flags</v>
      <v t="s">UniqueName</v>
      <v t="s">_DisplayString</v>
      <v t="s">LearnMoreOnLink</v>
      <v t="s">ExchangeID</v>
      <v t="s">%ProviderInfo</v>
    </a>
    <a count="40">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Acciones en circulación</v>
      <v t="s">Descripción</v>
      <v t="s">Empleados</v>
      <v t="s">Sede central</v>
      <v t="s">Sector</v>
      <v t="s">Tipo de instrumento</v>
      <v t="s">Año de constitución</v>
      <v t="s">_Flags</v>
      <v t="s">UniqueName</v>
      <v t="s">_DisplayString</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_Flags</v>
      <v t="s">UniqueName</v>
      <v t="s">_DisplayString</v>
      <v t="s">LearnMoreOnLink</v>
      <v t="s">ExchangeID</v>
      <v t="s">%ProviderInfo</v>
    </a>
    <a count="41">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Sede central</v>
      <v t="s">Sector</v>
      <v t="s">Tipo de instrumento</v>
      <v t="s">Año de constitución</v>
      <v t="s">_Flags</v>
      <v t="s">UniqueName</v>
      <v t="s">_DisplayString</v>
      <v t="s">LearnMoreOnLink</v>
      <v t="s">ExchangeID</v>
      <v t="s">%ProviderInfo</v>
    </a>
    <a count="30">
      <v t="s">%EntityServiceId</v>
      <v t="s">_Format</v>
      <v t="s">%IsRefreshable</v>
      <v t="s">_CanonicalPropertyNames</v>
      <v t="s">%EntityCulture</v>
      <v t="s">%EntityId</v>
      <v t="s">_Icon</v>
      <v t="s">_Display</v>
      <v t="s">Nombre</v>
      <v t="s">Intercambio</v>
      <v t="s">Nombre oficial</v>
      <v t="s">Símbolo bursátil</v>
      <v t="s">Abreviatura de intercambio</v>
      <v t="s">Moneda</v>
      <v t="s">Máximo en 52 semanas</v>
      <v t="s">Mínimo en 52 semanas</v>
      <v t="s">Volumen promedio</v>
      <v t="s">Beta</v>
      <v t="s">Acciones en circulación</v>
      <v t="s">Descripción</v>
      <v t="s">Empleados</v>
      <v t="s">Sede central</v>
      <v t="s">Sector</v>
      <v t="s">Tipo de instrumento</v>
      <v t="s">Año de constitución</v>
      <v t="s">_Flags</v>
      <v t="s">UniqueName</v>
      <v t="s">_DisplayString</v>
      <v t="s">ExchangeID</v>
      <v t="s">%ProviderInfo</v>
    </a>
    <a count="43">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Empleados</v>
      <v t="s">Sede central</v>
      <v t="s">Sector</v>
      <v t="s">Tipo de instrumento</v>
      <v t="s">Año de constitución</v>
      <v t="s">_Flags</v>
      <v t="s">UniqueName</v>
      <v t="s">_DisplayString</v>
      <v t="s">LearnMoreOnLink</v>
      <v t="s">Imagen</v>
      <v t="s">ExchangeID</v>
      <v t="s">%ProviderInfo</v>
    </a>
    <a count="37">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Beta</v>
      <v t="s">Descripción</v>
      <v t="s">Sede central</v>
      <v t="s">Tipo de instrumento</v>
      <v t="s">_Flags</v>
      <v t="s">UniqueName</v>
      <v t="s">_DisplayString</v>
      <v t="s">LearnMoreOnLink</v>
      <v t="s">ExchangeID</v>
      <v t="s">%ProviderInfo</v>
    </a>
  </spbArrays>
  <spbData count="62">
    <spb s="0">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0</v>
      <v>Name</v>
      <v>LearnMoreOnLink</v>
    </spb>
    <spb s="2">
      <v>0</v>
      <v>0</v>
      <v>0</v>
    </spb>
    <spb s="3">
      <v>2</v>
      <v>2</v>
      <v>2</v>
      <v>2</v>
    </spb>
    <spb s="4">
      <v>1</v>
      <v>2</v>
      <v>2</v>
      <v>1</v>
      <v>3</v>
      <v>1</v>
      <v>1</v>
      <v>1</v>
      <v>4</v>
      <v>4</v>
      <v>5</v>
      <v>6</v>
      <v>1</v>
      <v>1</v>
      <v>1</v>
      <v>4</v>
      <v>7</v>
      <v>8</v>
      <v>9</v>
      <v>4</v>
    </spb>
    <spb s="5">
      <v>Real-Time Nasdaq Last Sale</v>
      <v>from previous close</v>
      <v>from previous close</v>
      <v>Source: Nasdaq Last Sale</v>
      <v>GMT</v>
    </spb>
    <spb s="6">
      <v>Low</v>
      <v>Beta</v>
      <v>High</v>
      <v>Name</v>
      <v>Open</v>
      <v>Price</v>
      <v>Change</v>
      <v>Volume</v>
      <v>Currency</v>
      <v>Exchange</v>
      <v>Change (%)</v>
      <v>Market cap</v>
      <v>UniqueName</v>
      <v>52 week low</v>
      <v>52 week high</v>
      <v>%ProviderInfo</v>
      <v>Expense ratio</v>
      <v>Ticker symbol</v>
      <v>Previous close</v>
      <v>Volume average</v>
      <v>Instrument type</v>
      <v>Last trade time</v>
      <v>LearnMoreOnLink</v>
      <v>Exchange abbreviation</v>
    </spb>
    <spb s="1">
      <v>1</v>
      <v>Name</v>
      <v>LearnMoreOnLink</v>
    </spb>
    <spb s="7">
      <v>2</v>
      <v>2</v>
      <v>2</v>
    </spb>
    <spb s="8">
      <v>1</v>
      <v>2</v>
      <v>1</v>
      <v>3</v>
      <v>1</v>
      <v>1</v>
      <v>1</v>
      <v>4</v>
      <v>5</v>
      <v>6</v>
      <v>1</v>
      <v>1</v>
      <v>5</v>
      <v>1</v>
      <v>4</v>
      <v>7</v>
      <v>9</v>
    </spb>
    <spb s="9">
      <v>Real-Time Nasdaq Last Sale</v>
      <v>from previous close</v>
      <v>Source: Nasdaq Last Sale</v>
      <v>from previous close</v>
      <v>GMT</v>
    </spb>
    <spb s="10">
      <v>Low</v>
      <v>High</v>
      <v>Name</v>
      <v>Open</v>
      <v>Price</v>
      <v>Change</v>
      <v>Volume</v>
      <v>Currency</v>
      <v>Exchange</v>
      <v>Change (%)</v>
      <v>ExchangeID</v>
      <v>UniqueName</v>
      <v>52 week low</v>
      <v>Description</v>
      <v>52 week high</v>
      <v>Headquarters</v>
      <v>%ProviderInfo</v>
      <v>Official name</v>
      <v>Ticker symbol</v>
      <v>Previous close</v>
      <v>Instrument type</v>
      <v>Last trade time</v>
      <v>Exchange abbreviation</v>
    </spb>
    <spb s="11">
      <v>2</v>
      <v>Name</v>
    </spb>
    <spb s="12">
      <v>2</v>
      <v>2</v>
      <v>2</v>
    </spb>
    <spb s="13">
      <v>1</v>
      <v>1</v>
      <v>3</v>
      <v>1</v>
      <v>1</v>
      <v>1</v>
      <v>4</v>
      <v>5</v>
      <v>1</v>
      <v>1</v>
      <v>1</v>
      <v>7</v>
      <v>9</v>
    </spb>
    <spb s="14">
      <v>Delayed 30 minutes</v>
      <v>from previous close</v>
      <v>from previous close</v>
      <v>GMT</v>
    </spb>
    <spb s="15">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Year incorporated</v>
      <v>Shares outstanding</v>
      <v>Exchange abbreviation</v>
    </spb>
    <spb s="11">
      <v>3</v>
      <v>Name</v>
    </spb>
    <spb s="16">
      <v>Low</v>
      <v>P/E</v>
      <v>Beta</v>
      <v>High</v>
      <v>Name</v>
      <v>Open</v>
      <v>Price</v>
      <v>Change</v>
      <v>Volume</v>
      <v>Currency</v>
      <v>Exchange</v>
      <v>Industry</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4</v>
      <v>Name</v>
      <v>LearnMoreOnLink</v>
    </spb>
    <spb s="17">
      <v>1</v>
      <v>2</v>
      <v>2</v>
      <v>1</v>
      <v>3</v>
      <v>1</v>
      <v>1</v>
      <v>1</v>
      <v>4</v>
      <v>5</v>
      <v>6</v>
      <v>1</v>
      <v>1</v>
      <v>1</v>
      <v>4</v>
      <v>7</v>
      <v>8</v>
      <v>9</v>
      <v>4</v>
    </spb>
    <spb s="18">
      <v>Low</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Year incorporated</v>
      <v>Shares outstanding</v>
      <v>Exchange abbreviation</v>
    </spb>
    <spb s="11">
      <v>5</v>
      <v>Name</v>
    </spb>
    <spb s="19">
      <v>1</v>
      <v>2</v>
      <v>1</v>
      <v>3</v>
      <v>1</v>
      <v>1</v>
      <v>1</v>
      <v>4</v>
      <v>4</v>
      <v>5</v>
      <v>10</v>
      <v>1</v>
      <v>1</v>
      <v>1</v>
      <v>4</v>
      <v>7</v>
      <v>8</v>
      <v>9</v>
      <v>4</v>
    </spb>
    <spb s="1">
      <v>6</v>
      <v>Name</v>
      <v>LearnMoreOnLink</v>
    </spb>
    <spb s="20">
      <v>11</v>
      <v>11</v>
      <v>3</v>
      <v>11</v>
      <v>11</v>
      <v>11</v>
      <v>5</v>
      <v>11</v>
      <v>11</v>
      <v>11</v>
      <v>9</v>
    </spb>
    <spb s="21">
      <v>from previous close</v>
      <v>from previous close</v>
    </spb>
    <spb s="22">
      <v>Beta</v>
      <v>Change</v>
      <v>Currency</v>
      <v>High</v>
      <v>Low</v>
      <v>Name</v>
      <v>Price</v>
      <v>Volume</v>
      <v>Open</v>
      <v>Change (%)</v>
      <v>UniqueName</v>
      <v>Exchange</v>
      <v>%ProviderInfo</v>
      <v>Previous close</v>
      <v>LearnMoreOnLink</v>
      <v>Ticker symbol</v>
      <v>Volume average</v>
      <v>Expense ratio</v>
      <v>Instrument type</v>
      <v>52 week high</v>
      <v>52 week low</v>
      <v>Market cap</v>
      <v>Exchange abbreviation</v>
      <v>Last trade time</v>
    </spb>
    <spb s="1">
      <v>7</v>
      <v>Name</v>
      <v>LearnMoreOnLink</v>
    </spb>
    <spb s="23">
      <v>2</v>
      <v>1</v>
      <v>1</v>
      <v>1</v>
      <v>3</v>
      <v>1</v>
      <v>4</v>
      <v>1</v>
      <v>5</v>
      <v>1</v>
      <v>4</v>
      <v>9</v>
      <v>5</v>
      <v>1</v>
      <v>1</v>
      <v>6</v>
      <v>7</v>
    </spb>
    <spb s="24">
      <v xml:space="preserve">desde el cierre anterior </v>
      <v>Tiempo real Nasdaq Última venta</v>
      <v xml:space="preserve">desde el cierre anterior </v>
      <v>Origen: Nasdaq Última venta</v>
      <v>GMT</v>
    </spb>
    <spb s="25">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8</v>
      <v>Name</v>
      <v>LearnMoreOnLink</v>
    </spb>
    <spb s="26">
      <v>2</v>
      <v>2</v>
      <v>1</v>
      <v>1</v>
      <v>1</v>
      <v>3</v>
      <v>1</v>
      <v>4</v>
      <v>1</v>
      <v>4</v>
      <v>5</v>
      <v>1</v>
      <v>4</v>
      <v>9</v>
      <v>8</v>
      <v>1</v>
      <v>1</v>
      <v>4</v>
      <v>12</v>
      <v>7</v>
    </spb>
    <spb s="27">
      <v xml:space="preserve">desde el cierre anterior </v>
      <v>Tiempo real Nasdaq Última venta</v>
      <v xml:space="preserve">desde el cierre anterior </v>
      <v>Origen: Nasdaq Última venta</v>
      <v>GMT</v>
    </spb>
    <spb s="26">
      <v>2</v>
      <v>2</v>
      <v>1</v>
      <v>1</v>
      <v>1</v>
      <v>3</v>
      <v>1</v>
      <v>4</v>
      <v>1</v>
      <v>4</v>
      <v>5</v>
      <v>1</v>
      <v>4</v>
      <v>9</v>
      <v>8</v>
      <v>1</v>
      <v>1</v>
      <v>4</v>
      <v>6</v>
      <v>7</v>
    </spb>
    <spb s="28">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9</v>
      <v>Name</v>
      <v>LearnMoreOnLink</v>
    </spb>
    <spb s="29">
      <v>2</v>
      <v>1</v>
      <v>1</v>
      <v>1</v>
      <v>3</v>
      <v>1</v>
      <v>4</v>
      <v>1</v>
      <v>4</v>
      <v>5</v>
      <v>1</v>
      <v>4</v>
      <v>9</v>
      <v>8</v>
      <v>1</v>
      <v>1</v>
      <v>4</v>
      <v>6</v>
      <v>7</v>
    </spb>
    <spb s="30">
      <v>Change</v>
      <v>Currency</v>
      <v>High</v>
      <v>Low</v>
      <v>Name</v>
      <v>Price</v>
      <v>Industry</v>
      <v>Volume</v>
      <v>Open</v>
      <v>Employees</v>
      <v>Change (%)</v>
      <v>ExchangeID</v>
      <v>UniqueName</v>
      <v>Description</v>
      <v>Exchange</v>
      <v>Headquarters</v>
      <v>%ProviderInfo</v>
      <v>Official name</v>
      <v>Previous close</v>
      <v>Ticker symbol</v>
      <v>Volume average</v>
      <v>Year incorporated</v>
      <v>Instrument type</v>
      <v>52 week high</v>
      <v>52 week low</v>
      <v>Shares outstanding</v>
      <v>Market cap</v>
      <v>Exchange abbreviation</v>
      <v>Last trade time</v>
    </spb>
    <spb s="11">
      <v>10</v>
      <v>Name</v>
    </spb>
    <spb s="31">
      <v>1</v>
      <v>1</v>
      <v>1</v>
      <v>3</v>
      <v>1</v>
      <v>4</v>
      <v>1</v>
      <v>4</v>
      <v>5</v>
      <v>1</v>
      <v>4</v>
      <v>9</v>
      <v>8</v>
      <v>1</v>
      <v>1</v>
      <v>4</v>
      <v>6</v>
      <v>7</v>
    </spb>
    <spb s="32">
      <v>P/E</v>
      <v>Beta</v>
      <v>Change</v>
      <v>Currency</v>
      <v>High</v>
      <v>Low</v>
      <v>Name</v>
      <v>Price</v>
      <v>Industry</v>
      <v>Volume</v>
      <v>Open</v>
      <v>Employees</v>
      <v>Change (%)</v>
      <v>ExchangeID</v>
      <v>UniqueName</v>
      <v>Description</v>
      <v>Exchange</v>
      <v>Headquarters</v>
      <v>%ProviderInfo</v>
      <v>Official name</v>
      <v>Previous close</v>
      <v>LearnMoreOnLink</v>
      <v>Ticker symbol</v>
      <v>Volume average</v>
      <v>Instrument type</v>
      <v>52 week high</v>
      <v>52 week low</v>
      <v>Shares outstanding</v>
      <v>Market cap</v>
      <v>Exchange abbreviation</v>
      <v>Last trade time</v>
    </spb>
    <spb s="1">
      <v>11</v>
      <v>Name</v>
      <v>LearnMoreOnLink</v>
    </spb>
    <spb s="33">
      <v>2</v>
      <v>2</v>
      <v>1</v>
      <v>1</v>
      <v>1</v>
      <v>3</v>
      <v>1</v>
      <v>4</v>
      <v>1</v>
      <v>4</v>
      <v>5</v>
      <v>1</v>
      <v>4</v>
      <v>9</v>
      <v>1</v>
      <v>1</v>
      <v>4</v>
      <v>6</v>
      <v>7</v>
    </spb>
    <spb s="27">
      <v xml:space="preserve">desde el cierre anterior </v>
      <v>Retrasado 15 minutos</v>
      <v xml:space="preserve">desde el cierre anterior </v>
      <v>Origen: Nasdaq</v>
      <v>GMT</v>
    </spb>
    <spb s="34">
      <v>Beta</v>
      <v>Change</v>
      <v>Currency</v>
      <v>High</v>
      <v>Low</v>
      <v>Name</v>
      <v>Price</v>
      <v>Industry</v>
      <v>Volume</v>
      <v>Open</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12</v>
      <v>Name</v>
      <v>LearnMoreOnLink</v>
    </spb>
    <spb s="35">
      <v>2</v>
      <v>1</v>
      <v>1</v>
      <v>1</v>
      <v>3</v>
      <v>1</v>
      <v>4</v>
      <v>1</v>
      <v>5</v>
      <v>1</v>
      <v>4</v>
      <v>9</v>
      <v>8</v>
      <v>1</v>
      <v>1</v>
      <v>4</v>
      <v>6</v>
      <v>7</v>
    </spb>
    <spb s="36">
      <v>Beta</v>
      <v>Currency</v>
      <v>Name</v>
      <v>Industry</v>
      <v>Employees</v>
      <v>ExchangeID</v>
      <v>UniqueName</v>
      <v>Description</v>
      <v>Exchange</v>
      <v>Headquarters</v>
      <v>%ProviderInfo</v>
      <v>Official name</v>
      <v>Ticker symbol</v>
      <v>Volume average</v>
      <v>Year incorporated</v>
      <v>Instrument type</v>
      <v>52 week high</v>
      <v>52 week low</v>
      <v>Shares outstanding</v>
      <v>Exchange abbreviation</v>
    </spb>
    <spb s="11">
      <v>13</v>
      <v>Name</v>
    </spb>
    <spb s="37">
      <v>2</v>
      <v>3</v>
      <v>4</v>
      <v>4</v>
      <v>9</v>
      <v>8</v>
      <v>1</v>
      <v>1</v>
      <v>4</v>
    </spb>
    <spb s="29">
      <v>2</v>
      <v>1</v>
      <v>1</v>
      <v>1</v>
      <v>3</v>
      <v>1</v>
      <v>4</v>
      <v>1</v>
      <v>4</v>
      <v>5</v>
      <v>1</v>
      <v>4</v>
      <v>9</v>
      <v>8</v>
      <v>1</v>
      <v>1</v>
      <v>4</v>
      <v>12</v>
      <v>7</v>
    </spb>
    <spb s="38">
      <v>Beta</v>
      <v>Change</v>
      <v>Image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14</v>
      <v>Name</v>
      <v>LearnMoreOnLink</v>
    </spb>
    <spb s="39">
      <v>0</v>
      <v>0</v>
    </spb>
    <spb s="40">
      <v>55</v>
      <v>2</v>
      <v>2</v>
      <v>2</v>
      <v>2</v>
    </spb>
    <spb s="41">
      <v>2</v>
      <v>1</v>
      <v>13</v>
      <v>1</v>
      <v>1</v>
      <v>3</v>
      <v>1</v>
      <v>4</v>
      <v>1</v>
      <v>4</v>
      <v>5</v>
      <v>1</v>
      <v>4</v>
      <v>9</v>
      <v>8</v>
      <v>1</v>
      <v>1</v>
      <v>4</v>
      <v>6</v>
      <v>7</v>
    </spb>
    <spb s="42">
      <v>Con tecnología de Refinitiv</v>
    </spb>
    <spb s="43">
      <v>Beta</v>
      <v>Change</v>
      <v>Currency</v>
      <v>High</v>
      <v>Low</v>
      <v>Name</v>
      <v>Price</v>
      <v>Volume</v>
      <v>Open</v>
      <v>Change (%)</v>
      <v>ExchangeID</v>
      <v>UniqueName</v>
      <v>Description</v>
      <v>Exchange</v>
      <v>Headquarters</v>
      <v>%ProviderInfo</v>
      <v>Official name</v>
      <v>Previous close</v>
      <v>LearnMoreOnLink</v>
      <v>Ticker symbol</v>
      <v>Volume average</v>
      <v>Instrument type</v>
      <v>52 week high</v>
      <v>52 week low</v>
      <v>Exchange abbreviation</v>
      <v>Last trade time</v>
    </spb>
    <spb s="1">
      <v>15</v>
      <v>Name</v>
      <v>LearnMoreOnLink</v>
    </spb>
    <spb s="44">
      <v>2</v>
      <v>1</v>
      <v>1</v>
      <v>1</v>
      <v>3</v>
      <v>1</v>
      <v>4</v>
      <v>1</v>
      <v>5</v>
      <v>1</v>
      <v>4</v>
      <v>9</v>
      <v>1</v>
      <v>1</v>
      <v>7</v>
    </spb>
  </spbData>
</supportingPropertyBags>
</file>

<file path=xl/richData/rdsupportingpropertybagstructure.xml><?xml version="1.0" encoding="utf-8"?>
<spbStructures xmlns="http://schemas.microsoft.com/office/spreadsheetml/2017/richdata2" count="45">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s"/>
    <k n="Beta" t="s"/>
    <k n="High" t="s"/>
    <k n="Name" t="s"/>
    <k n="Open" t="s"/>
    <k n="Price" t="s"/>
    <k n="Change" t="s"/>
    <k n="Volume" t="s"/>
    <k n="Currency" t="s"/>
    <k n="Exchange" t="s"/>
    <k n="Change (%)" t="s"/>
    <k n="Market cap" t="s"/>
    <k n="UniqueName" t="s"/>
    <k n="52 week low" t="s"/>
    <k n="52 week high" t="s"/>
    <k n="%ProviderInfo" t="s"/>
    <k n="Expense ratio" t="s"/>
    <k n="Ticker symbol" t="s"/>
    <k n="Previous close" t="s"/>
    <k n="Volume average" t="s"/>
    <k n="Instrument type" t="s"/>
    <k n="Last trade time" t="s"/>
    <k n="LearnMoreOnLink" t="s"/>
    <k n="Exchange abbreviation"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Low" t="s"/>
    <k n="High" t="s"/>
    <k n="Name" t="s"/>
    <k n="Open" t="s"/>
    <k n="Price" t="s"/>
    <k n="Change" t="s"/>
    <k n="Volume" t="s"/>
    <k n="Currency" t="s"/>
    <k n="Exchange" t="s"/>
    <k n="Change (%)" t="s"/>
    <k n="ExchangeID" t="s"/>
    <k n="UniqueName" t="s"/>
    <k n="52 week low" t="s"/>
    <k n="Description" t="s"/>
    <k n="52 week high" t="s"/>
    <k n="Headquarters" t="s"/>
    <k n="%ProviderInfo" t="s"/>
    <k n="Official name" t="s"/>
    <k n="Ticker symbol" t="s"/>
    <k n="Previous close" t="s"/>
    <k n="Instrument type" t="s"/>
    <k n="Last trade time" t="s"/>
    <k n="Exchange abbreviation" t="s"/>
  </s>
  <s>
    <k n="^Order" t="spba"/>
    <k n="TitleProperty" t="s"/>
  </s>
  <s>
    <k n="ExchangeID" t="spb"/>
    <k n="UniqueName" t="spb"/>
    <k n="`%ProviderInfo" t="spb"/>
  </s>
  <s>
    <k n="Low" t="i"/>
    <k n="High" t="i"/>
    <k n="Name" t="i"/>
    <k n="Open" t="i"/>
    <k n="Price" t="i"/>
    <k n="Change" t="i"/>
    <k n="Volume" t="i"/>
    <k n="Change (%)" t="i"/>
    <k n="52 week low" t="i"/>
    <k n="52 week high" t="i"/>
    <k n="Previous close" t="i"/>
    <k n="Last trade time" t="i"/>
    <k n="`%EntityServiceId" t="i"/>
  </s>
  <s>
    <k n="Price" t="s"/>
    <k n="Change" t="s"/>
    <k n="Change (%)" t="s"/>
    <k n="Last trade time" t="s"/>
  </s>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Year incorporated" t="s"/>
    <k n="Shares outstanding" t="s"/>
    <k n="Exchange abbreviation" t="s"/>
  </s>
  <s>
    <k n="Low" t="s"/>
    <k n="P/E" t="s"/>
    <k n="Beta" t="s"/>
    <k n="High" t="s"/>
    <k n="Name" t="s"/>
    <k n="Open" t="s"/>
    <k n="Price" t="s"/>
    <k n="Change" t="s"/>
    <k n="Volume" t="s"/>
    <k n="Currency" t="s"/>
    <k n="Exchange" t="s"/>
    <k n="Industry"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Year incorporated" t="s"/>
    <k n="Shares outstanding" t="s"/>
    <k n="Exchange abbreviation"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Change (%)" t="i"/>
    <k n="52 week low" t="i"/>
    <k n="52 week high" t="i"/>
    <k n="Previous close" t="i"/>
    <k n="`%EntityServiceId" t="i"/>
  </s>
  <s>
    <k n="Change" t="s"/>
    <k n="Change (%)" t="s"/>
  </s>
  <s>
    <k n="Beta" t="s"/>
    <k n="Cambio" t="s"/>
    <k n="Moneda" t="s"/>
    <k n="Máximo" t="s"/>
    <k n="Mínimo" t="s"/>
    <k n="Nombre" t="s"/>
    <k n="Precio" t="s"/>
    <k n="Volumen" t="s"/>
    <k n="Apertura" t="s"/>
    <k n="Cambio (%)" t="s"/>
    <k n="UniqueName" t="s"/>
    <k n="Intercambio" t="s"/>
    <k n="%ProviderInfo" t="s"/>
    <k n="Cierre anterior" t="s"/>
    <k n="LearnMoreOnLink" t="s"/>
    <k n="Símbolo bursátil" t="s"/>
    <k n="Volumen promedio" t="s"/>
    <k n="Índice de gastos" t="s"/>
    <k n="Tipo de instrumento" t="s"/>
    <k n="Máximo en 52 semanas" t="s"/>
    <k n="Mínimo en 52 semanas" t="s"/>
    <k n="Capitalización de mercado" t="s"/>
    <k n="Abreviatura de intercambio" t="s"/>
    <k n="Hora de la última operación" t="s"/>
  </s>
  <s>
    <k n="Beta" t="i"/>
    <k n="Cambio" t="i"/>
    <k n="Máximo" t="i"/>
    <k n="Mínimo" t="i"/>
    <k n="Nombre" t="i"/>
    <k n="Precio" t="i"/>
    <k n="Volumen" t="i"/>
    <k n="Apertura" t="i"/>
    <k n="Cambio (%)" t="i"/>
    <k n="Cierre anterior" t="i"/>
    <k n="Volumen promedio" t="i"/>
    <k n="`%EntityServiceId" t="i"/>
    <k n="`Índice de gastos" t="i"/>
    <k n="Máximo en 52 semanas" t="i"/>
    <k n="Mínimo en 52 semanas" t="i"/>
    <k n="Capitalización de mercado" t="i"/>
    <k n="Hora de la última operación" t="i"/>
  </s>
  <s>
    <k n="Cambio" t="s"/>
    <k n="Precio" t="s"/>
    <k n="Cambio (%)" t="s"/>
    <k n="Intercambio" t="s"/>
    <k n="Hora de la última operación" t="s"/>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Precio" t="s"/>
    <k n="Cambio (%)" t="s"/>
    <k n="ExchangeID" t="s"/>
    <k n="Hora de la última operación" t="s"/>
  </s>
  <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Tipo de instrumento" t="s"/>
    <k n="Máximo en 52 semanas" t="s"/>
    <k n="Mínimo en 52 semanas" t="s"/>
    <k n="Acciones en circulación" t="s"/>
    <k n="Capitalización de mercado" t="s"/>
    <k n="Abreviatura de intercambio" t="s"/>
    <k n="Hora de la última operación" t="s"/>
  </s>
  <s>
    <k n="P/I" t="i"/>
    <k n="Beta" t="i"/>
    <k n="Cambio" t="i"/>
    <k n="Máximo" t="i"/>
    <k n="Mínimo" t="i"/>
    <k n="Nombre" t="i"/>
    <k n="Precio" t="i"/>
    <k n="Volumen" t="i"/>
    <k n="Apertura" t="i"/>
    <k n="Empleados" t="i"/>
    <k n="Cambio (%)" t="i"/>
    <k n="Cierre anterior" t="i"/>
    <k n="Volumen promedio" t="i"/>
    <k n="`%EntityServiceId" t="i"/>
    <k n="Máximo en 52 semanas" t="i"/>
    <k n="Mínimo en 52 semanas" t="i"/>
    <k n="Acciones en circulación" t="i"/>
    <k n="Capitalización de mercado" t="i"/>
    <k n="Hora de la última operación" t="i"/>
  </s>
  <s>
    <k n="Beta" t="s"/>
    <k n="Cambio" t="s"/>
    <k n="Moneda" t="s"/>
    <k n="Máximo" t="s"/>
    <k n="Mínimo" t="s"/>
    <k n="Nombre" t="s"/>
    <k n="Precio" t="s"/>
    <k n="Sector" t="s"/>
    <k n="Volumen" t="s"/>
    <k n="Apertura"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Beta" t="i"/>
    <k n="Cambio" t="i"/>
    <k n="Máximo" t="i"/>
    <k n="Mínimo" t="i"/>
    <k n="Nombre" t="i"/>
    <k n="Precio" t="i"/>
    <k n="Volumen" t="i"/>
    <k n="Apertura" t="i"/>
    <k n="Cambio (%)" t="i"/>
    <k n="Cierre anterior" t="i"/>
    <k n="Volumen promedio" t="i"/>
    <k n="`%EntityServiceId" t="i"/>
    <k n="Año de constitución" t="i"/>
    <k n="Máximo en 52 semanas" t="i"/>
    <k n="Mínimo en 52 semanas" t="i"/>
    <k n="Acciones en circulación" t="i"/>
    <k n="Capitalización de mercado" t="i"/>
    <k n="Hora de la última operación" t="i"/>
  </s>
  <s>
    <k n="Beta" t="s"/>
    <k n="Moneda" t="s"/>
    <k n="Nombre" t="s"/>
    <k n="Sector" t="s"/>
    <k n="Empleados" t="s"/>
    <k n="ExchangeID" t="s"/>
    <k n="UniqueName" t="s"/>
    <k n="Descripción" t="s"/>
    <k n="Intercambio" t="s"/>
    <k n="Sede central" t="s"/>
    <k n="%ProviderInfo" t="s"/>
    <k n="Nombre oficial" t="s"/>
    <k n="Símbolo bursátil" t="s"/>
    <k n="Volumen promedio" t="s"/>
    <k n="Año de constitución" t="s"/>
    <k n="Tipo de instrumento" t="s"/>
    <k n="Máximo en 52 semanas" t="s"/>
    <k n="Mínimo en 52 semanas" t="s"/>
    <k n="Acciones en circulación" t="s"/>
    <k n="Abreviatura de intercambio" t="s"/>
  </s>
  <s>
    <k n="Beta" t="i"/>
    <k n="Nombre" t="i"/>
    <k n="Empleados" t="i"/>
    <k n="Volumen promedio" t="i"/>
    <k n="`%EntityServiceId" t="i"/>
    <k n="Año de constitución" t="i"/>
    <k n="Máximo en 52 semanas" t="i"/>
    <k n="Mínimo en 52 semanas" t="i"/>
    <k n="Acciones en circulación" t="i"/>
  </s>
  <s>
    <k n="Beta" t="s"/>
    <k n="Cambio" t="s"/>
    <k n="Imagen"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ShowInDotNotation" t="b"/>
    <k n="ShowInAutoComplete" t="b"/>
  </s>
  <s>
    <k n="Imagen" t="spb"/>
    <k n="ExchangeID" t="spb"/>
    <k n="UniqueName" t="spb"/>
    <k n="`%ProviderInfo" t="spb"/>
    <k n="LearnMoreOnLink" t="spb"/>
  </s>
  <s>
    <k n="Beta" t="i"/>
    <k n="Cambio" t="i"/>
    <k n="Imagen"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name" t="s"/>
  </s>
  <s>
    <k n="Beta" t="s"/>
    <k n="Cambio" t="s"/>
    <k n="Moneda" t="s"/>
    <k n="Máximo" t="s"/>
    <k n="Mínimo" t="s"/>
    <k n="Nombre" t="s"/>
    <k n="Precio" t="s"/>
    <k n="Volumen" t="s"/>
    <k n="Apertura" t="s"/>
    <k n="Cambio (%)" t="s"/>
    <k n="ExchangeID" t="s"/>
    <k n="UniqueName" t="s"/>
    <k n="Descripción" t="s"/>
    <k n="Intercambio" t="s"/>
    <k n="Sede central" t="s"/>
    <k n="%ProviderInfo" t="s"/>
    <k n="Nombre oficial" t="s"/>
    <k n="Cierre anterior" t="s"/>
    <k n="LearnMoreOnLink" t="s"/>
    <k n="Símbolo bursátil" t="s"/>
    <k n="Volumen promedio" t="s"/>
    <k n="Tipo de instrumento" t="s"/>
    <k n="Máximo en 52 semanas" t="s"/>
    <k n="Mínimo en 52 semanas" t="s"/>
    <k n="Abreviatura de intercambio" t="s"/>
    <k n="Hora de la última operación" t="s"/>
  </s>
  <s>
    <k n="Beta" t="i"/>
    <k n="Cambio" t="i"/>
    <k n="Máximo" t="i"/>
    <k n="Mínimo" t="i"/>
    <k n="Nombre" t="i"/>
    <k n="Precio" t="i"/>
    <k n="Volumen" t="i"/>
    <k n="Apertura" t="i"/>
    <k n="Cambio (%)" t="i"/>
    <k n="Cierre anterior" t="i"/>
    <k n="Volumen promedio" t="i"/>
    <k n="`%EntityServiceId" t="i"/>
    <k n="Máximo en 52 semanas" t="i"/>
    <k n="Mínimo en 52 semanas" t="i"/>
    <k n="Hora de la última operación"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d/m/yyyy\ hh:mm"/>
    </x:dxf>
    <x:dxf>
      <x:numFmt numFmtId="1" formatCode="0"/>
    </x:dxf>
    <x:dxf>
      <x:numFmt numFmtId="2" formatCode="0.00"/>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dxfid="0">
      <rpv i="0">_-[$$-es-AR] * #,##0_-;-[$$-es-AR] * #,##0_-;_-[$$-es-AR] * "-"_-;_-@_-</rpv>
    </rSty>
    <rSty dxfid="0">
      <rpv i="0">_-[$$-es-AR] * #,##0.00_-;-[$$-es-AR] * #,##0.00_-;_-[$$-es-AR] * "-"??_-;_-@_-</rpv>
    </rSty>
    <rSty dxfid="0">
      <rpv i="0">_-[$$-en-CA]* #,##0_-;-[$$-en-CA]* #,##0_-;_-[$$-en-CA]* "-"_-;_-@_-</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es.finance.yahoo.com/quote/SPY/holding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AD1AA-D33F-4A68-8D79-172234BD0B41}">
  <dimension ref="B1:J11"/>
  <sheetViews>
    <sheetView workbookViewId="0">
      <selection activeCell="U4" sqref="U4"/>
    </sheetView>
  </sheetViews>
  <sheetFormatPr defaultColWidth="11.42578125" defaultRowHeight="15.6"/>
  <cols>
    <col min="1" max="1" width="11.42578125" style="4"/>
    <col min="2" max="2" width="19.28515625" style="4" customWidth="1"/>
    <col min="3" max="3" width="39.42578125" style="4" customWidth="1"/>
    <col min="4" max="4" width="40.85546875" style="4" customWidth="1"/>
    <col min="5" max="5" width="36.85546875" style="4" customWidth="1"/>
    <col min="6" max="6" width="17.42578125" style="4" customWidth="1"/>
    <col min="7" max="7" width="57.5703125" style="4" customWidth="1"/>
    <col min="8" max="8" width="2.7109375" style="4" customWidth="1"/>
    <col min="9" max="9" width="3" style="4" customWidth="1"/>
    <col min="10" max="10" width="27.5703125" style="4" hidden="1" customWidth="1"/>
    <col min="11" max="16384" width="11.42578125" style="4"/>
  </cols>
  <sheetData>
    <row r="1" spans="2:10">
      <c r="C1" s="45" t="s">
        <v>0</v>
      </c>
    </row>
    <row r="2" spans="2:10" ht="21">
      <c r="B2" s="46" t="s">
        <v>1</v>
      </c>
      <c r="C2" s="138" t="s">
        <v>2</v>
      </c>
      <c r="D2" s="140" t="s">
        <v>3</v>
      </c>
      <c r="E2" s="142" t="s">
        <v>4</v>
      </c>
      <c r="F2" s="144" t="s">
        <v>5</v>
      </c>
      <c r="G2" s="144" t="s">
        <v>6</v>
      </c>
      <c r="H2" s="47"/>
      <c r="I2" s="47"/>
      <c r="J2" s="144" t="s">
        <v>7</v>
      </c>
    </row>
    <row r="3" spans="2:10" ht="21">
      <c r="B3" s="48" t="s">
        <v>8</v>
      </c>
      <c r="C3" s="139"/>
      <c r="D3" s="141"/>
      <c r="E3" s="143"/>
      <c r="F3" s="145"/>
      <c r="G3" s="145"/>
      <c r="H3" s="47"/>
      <c r="I3" s="47"/>
      <c r="J3" s="145"/>
    </row>
    <row r="4" spans="2:10" ht="140.44999999999999">
      <c r="B4" s="49" t="s">
        <v>9</v>
      </c>
      <c r="C4" s="50" t="s">
        <v>10</v>
      </c>
      <c r="D4" s="50" t="s">
        <v>11</v>
      </c>
      <c r="E4" s="50" t="s">
        <v>12</v>
      </c>
      <c r="F4" s="51" t="s">
        <v>13</v>
      </c>
      <c r="G4" s="52" t="s">
        <v>14</v>
      </c>
      <c r="J4" s="136"/>
    </row>
    <row r="5" spans="2:10" ht="120">
      <c r="B5" s="49" t="s">
        <v>15</v>
      </c>
      <c r="C5" s="50" t="s">
        <v>16</v>
      </c>
      <c r="D5" s="50" t="s">
        <v>17</v>
      </c>
      <c r="E5" s="50" t="s">
        <v>18</v>
      </c>
      <c r="F5" s="51" t="s">
        <v>13</v>
      </c>
      <c r="G5" s="52" t="s">
        <v>19</v>
      </c>
      <c r="J5" s="136"/>
    </row>
    <row r="6" spans="2:10" ht="105">
      <c r="B6" s="49" t="s">
        <v>20</v>
      </c>
      <c r="C6" s="50" t="s">
        <v>21</v>
      </c>
      <c r="D6" s="51" t="s">
        <v>22</v>
      </c>
      <c r="E6" s="53" t="s">
        <v>23</v>
      </c>
      <c r="F6" s="51" t="s">
        <v>13</v>
      </c>
      <c r="G6" s="52" t="s">
        <v>24</v>
      </c>
      <c r="J6" s="136"/>
    </row>
    <row r="7" spans="2:10" ht="135">
      <c r="B7" s="49" t="s">
        <v>25</v>
      </c>
      <c r="C7" s="51" t="s">
        <v>21</v>
      </c>
      <c r="D7" s="50" t="s">
        <v>26</v>
      </c>
      <c r="E7" s="50" t="s">
        <v>27</v>
      </c>
      <c r="F7" s="51" t="s">
        <v>13</v>
      </c>
      <c r="G7" s="52" t="s">
        <v>28</v>
      </c>
      <c r="J7" s="137"/>
    </row>
    <row r="8" spans="2:10" ht="105">
      <c r="B8" s="49" t="s">
        <v>29</v>
      </c>
      <c r="C8" s="50" t="s">
        <v>30</v>
      </c>
      <c r="D8" s="50" t="s">
        <v>31</v>
      </c>
      <c r="E8" s="50" t="s">
        <v>32</v>
      </c>
      <c r="F8" s="51" t="s">
        <v>33</v>
      </c>
      <c r="G8" s="52" t="s">
        <v>34</v>
      </c>
      <c r="J8" s="18"/>
    </row>
    <row r="9" spans="2:10" ht="60">
      <c r="B9" s="49" t="s">
        <v>35</v>
      </c>
      <c r="C9" s="50" t="s">
        <v>36</v>
      </c>
      <c r="D9" s="50" t="s">
        <v>37</v>
      </c>
      <c r="E9" s="50" t="s">
        <v>38</v>
      </c>
      <c r="F9" s="51" t="s">
        <v>13</v>
      </c>
      <c r="G9" s="58" t="s">
        <v>39</v>
      </c>
      <c r="J9" s="18"/>
    </row>
    <row r="10" spans="2:10" ht="45">
      <c r="B10" s="49" t="s">
        <v>40</v>
      </c>
      <c r="C10" s="50" t="s">
        <v>41</v>
      </c>
      <c r="D10" s="50" t="s">
        <v>42</v>
      </c>
      <c r="E10" s="50" t="s">
        <v>43</v>
      </c>
      <c r="F10" s="51" t="s">
        <v>33</v>
      </c>
      <c r="G10" s="52" t="s">
        <v>44</v>
      </c>
    </row>
    <row r="11" spans="2:10" ht="90">
      <c r="B11" s="49" t="s">
        <v>45</v>
      </c>
      <c r="C11" s="51" t="s">
        <v>46</v>
      </c>
      <c r="D11" s="51" t="s">
        <v>46</v>
      </c>
      <c r="E11" s="51" t="s">
        <v>46</v>
      </c>
      <c r="F11" s="51" t="s">
        <v>33</v>
      </c>
      <c r="G11" s="52" t="s">
        <v>47</v>
      </c>
    </row>
  </sheetData>
  <sheetProtection algorithmName="SHA-512" hashValue="d+TSrrp85bMj7OLi5Wg13wdKyM4PRKtKHfXwXQ2G3VB960wF2fd2F2wBwkZtW12wngdSnZF1PnE9ZwTwGNu5JA==" saltValue="YrQseUEL2TrU7WNvo5pqfQ==" spinCount="100000" sheet="1" objects="1" scenarios="1"/>
  <mergeCells count="7">
    <mergeCell ref="J4:J7"/>
    <mergeCell ref="C2:C3"/>
    <mergeCell ref="D2:D3"/>
    <mergeCell ref="E2:E3"/>
    <mergeCell ref="F2:F3"/>
    <mergeCell ref="G2:G3"/>
    <mergeCell ref="J2:J3"/>
  </mergeCells>
  <conditionalFormatting sqref="F4:F11">
    <cfRule type="cellIs" dxfId="5" priority="1" operator="equal">
      <formula>"UW"</formula>
    </cfRule>
    <cfRule type="cellIs" dxfId="4" priority="2" operator="equal">
      <formula>"MW"</formula>
    </cfRule>
    <cfRule type="cellIs" dxfId="3" priority="3" operator="equal">
      <formula>"OW"</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4D3D6-BF34-4FA1-9236-B3D45C271B49}">
  <dimension ref="B1:O45"/>
  <sheetViews>
    <sheetView workbookViewId="0">
      <selection activeCell="E38" sqref="E38"/>
    </sheetView>
  </sheetViews>
  <sheetFormatPr defaultColWidth="11.42578125" defaultRowHeight="15.6"/>
  <cols>
    <col min="1" max="1" width="11.42578125" style="4"/>
    <col min="2" max="2" width="33.42578125" style="4" customWidth="1"/>
    <col min="3" max="3" width="17" style="4" customWidth="1"/>
    <col min="4" max="4" width="64.140625" style="4" customWidth="1"/>
    <col min="5" max="5" width="11.42578125" style="4" customWidth="1"/>
    <col min="6" max="6" width="11.42578125" style="4"/>
    <col min="7" max="7" width="20.85546875" style="4" customWidth="1"/>
    <col min="8" max="11" width="11.42578125" style="4"/>
    <col min="12" max="12" width="20" style="4" customWidth="1"/>
    <col min="13" max="16384" width="11.42578125" style="4"/>
  </cols>
  <sheetData>
    <row r="1" spans="2:15" ht="23.25" customHeight="1">
      <c r="B1" s="21" t="s">
        <v>48</v>
      </c>
    </row>
    <row r="2" spans="2:15" ht="23.25" customHeight="1"/>
    <row r="3" spans="2:15" ht="23.25" customHeight="1">
      <c r="B3" s="20" t="s">
        <v>49</v>
      </c>
      <c r="G3" s="20" t="s">
        <v>50</v>
      </c>
    </row>
    <row r="4" spans="2:15" ht="23.25" customHeight="1">
      <c r="B4" s="126" t="s">
        <v>51</v>
      </c>
      <c r="C4" s="127"/>
      <c r="D4" s="127"/>
      <c r="E4" s="128"/>
      <c r="G4" s="126" t="s">
        <v>52</v>
      </c>
      <c r="H4" s="127"/>
      <c r="I4" s="127"/>
      <c r="J4" s="127"/>
      <c r="K4" s="127"/>
      <c r="L4" s="127"/>
      <c r="M4" s="127"/>
      <c r="N4" s="127"/>
      <c r="O4" s="128"/>
    </row>
    <row r="5" spans="2:15" ht="23.25" customHeight="1">
      <c r="B5" s="129"/>
      <c r="C5" s="130"/>
      <c r="D5" s="130"/>
      <c r="E5" s="131"/>
      <c r="G5" s="129"/>
      <c r="H5" s="130"/>
      <c r="I5" s="130"/>
      <c r="J5" s="130"/>
      <c r="K5" s="130"/>
      <c r="L5" s="130"/>
      <c r="M5" s="130"/>
      <c r="N5" s="130"/>
      <c r="O5" s="131"/>
    </row>
    <row r="6" spans="2:15">
      <c r="B6" s="129"/>
      <c r="C6" s="130"/>
      <c r="D6" s="130"/>
      <c r="E6" s="131"/>
      <c r="G6" s="129"/>
      <c r="H6" s="130"/>
      <c r="I6" s="130"/>
      <c r="J6" s="130"/>
      <c r="K6" s="130"/>
      <c r="L6" s="130"/>
      <c r="M6" s="130"/>
      <c r="N6" s="130"/>
      <c r="O6" s="131"/>
    </row>
    <row r="7" spans="2:15">
      <c r="B7" s="132"/>
      <c r="C7" s="133"/>
      <c r="D7" s="133"/>
      <c r="E7" s="134"/>
      <c r="G7" s="132"/>
      <c r="H7" s="133"/>
      <c r="I7" s="133"/>
      <c r="J7" s="133"/>
      <c r="K7" s="133"/>
      <c r="L7" s="133"/>
      <c r="M7" s="133"/>
      <c r="N7" s="133"/>
      <c r="O7" s="134"/>
    </row>
    <row r="9" spans="2:15">
      <c r="B9" s="135" t="s">
        <v>53</v>
      </c>
      <c r="C9" s="135"/>
      <c r="D9" s="135"/>
      <c r="E9" s="135"/>
    </row>
    <row r="10" spans="2:15">
      <c r="B10" s="9" t="s">
        <v>54</v>
      </c>
      <c r="C10" s="16">
        <v>0.6</v>
      </c>
      <c r="D10" s="146" t="s">
        <v>55</v>
      </c>
      <c r="E10" s="146"/>
    </row>
    <row r="11" spans="2:15">
      <c r="B11" s="14" t="s">
        <v>56</v>
      </c>
      <c r="C11" s="13">
        <v>0.06</v>
      </c>
      <c r="D11" s="125" t="e" vm="1">
        <v>#VALUE!</v>
      </c>
      <c r="E11" s="125"/>
    </row>
    <row r="12" spans="2:15">
      <c r="B12" s="14" t="s">
        <v>57</v>
      </c>
      <c r="C12" s="13">
        <v>0.06</v>
      </c>
      <c r="D12" s="125" t="e" vm="2">
        <v>#VALUE!</v>
      </c>
      <c r="E12" s="125"/>
    </row>
    <row r="13" spans="2:15">
      <c r="B13" s="14" t="s">
        <v>58</v>
      </c>
      <c r="C13" s="13">
        <v>0.06</v>
      </c>
      <c r="D13" s="125" t="e" vm="3">
        <v>#VALUE!</v>
      </c>
      <c r="E13" s="125"/>
    </row>
    <row r="14" spans="2:15">
      <c r="B14" s="14" t="s">
        <v>59</v>
      </c>
      <c r="C14" s="13">
        <v>0.06</v>
      </c>
      <c r="D14" s="125" t="e" vm="4">
        <v>#VALUE!</v>
      </c>
      <c r="E14" s="125"/>
    </row>
    <row r="15" spans="2:15">
      <c r="B15" s="14" t="s">
        <v>60</v>
      </c>
      <c r="C15" s="13">
        <v>0.06</v>
      </c>
      <c r="D15" s="125" t="e" vm="5">
        <v>#VALUE!</v>
      </c>
      <c r="E15" s="125"/>
    </row>
    <row r="16" spans="2:15">
      <c r="B16" s="14" t="s">
        <v>61</v>
      </c>
      <c r="C16" s="13">
        <v>0.06</v>
      </c>
      <c r="D16" s="12" t="e" vm="6">
        <v>#VALUE!</v>
      </c>
      <c r="E16" s="19"/>
    </row>
    <row r="17" spans="2:5">
      <c r="B17" s="14" t="s">
        <v>62</v>
      </c>
      <c r="C17" s="13">
        <v>0.03</v>
      </c>
      <c r="D17" s="12" t="e" vm="7">
        <v>#VALUE!</v>
      </c>
    </row>
    <row r="18" spans="2:5">
      <c r="B18" s="14" t="s">
        <v>63</v>
      </c>
      <c r="C18" s="13">
        <v>0.03</v>
      </c>
      <c r="D18" s="12" t="e" vm="8">
        <v>#VALUE!</v>
      </c>
    </row>
    <row r="19" spans="2:5">
      <c r="B19" s="14" t="s">
        <v>64</v>
      </c>
      <c r="C19" s="13">
        <v>0.03</v>
      </c>
      <c r="D19" s="12" t="e" vm="9">
        <v>#VALUE!</v>
      </c>
    </row>
    <row r="20" spans="2:5">
      <c r="B20" s="14" t="s">
        <v>65</v>
      </c>
      <c r="C20" s="13">
        <v>0.03</v>
      </c>
      <c r="D20" s="12" t="e" vm="10">
        <v>#VALUE!</v>
      </c>
    </row>
    <row r="21" spans="2:5">
      <c r="B21" s="14" t="s">
        <v>66</v>
      </c>
      <c r="C21" s="13">
        <v>0.03</v>
      </c>
      <c r="D21" s="12" t="e" vm="11">
        <v>#VALUE!</v>
      </c>
    </row>
    <row r="22" spans="2:5">
      <c r="B22" s="14" t="s">
        <v>67</v>
      </c>
      <c r="C22" s="13">
        <v>0.03</v>
      </c>
      <c r="D22" s="12" t="e" vm="12">
        <v>#VALUE!</v>
      </c>
      <c r="E22" s="18"/>
    </row>
    <row r="23" spans="2:5">
      <c r="B23" s="14" t="s">
        <v>68</v>
      </c>
      <c r="C23" s="13">
        <v>0.03</v>
      </c>
      <c r="D23" s="125" t="e" vm="3">
        <v>#VALUE!</v>
      </c>
      <c r="E23" s="125"/>
    </row>
    <row r="24" spans="2:5">
      <c r="B24" s="14" t="s">
        <v>69</v>
      </c>
      <c r="C24" s="13">
        <v>0.03</v>
      </c>
      <c r="D24" s="12" t="e" vm="13">
        <v>#VALUE!</v>
      </c>
      <c r="E24" s="18"/>
    </row>
    <row r="25" spans="2:5">
      <c r="B25" s="9" t="s">
        <v>70</v>
      </c>
      <c r="C25" s="16">
        <v>0.2</v>
      </c>
      <c r="D25" s="146" t="s">
        <v>55</v>
      </c>
      <c r="E25" s="146"/>
    </row>
    <row r="26" spans="2:5">
      <c r="B26" s="14" t="s">
        <v>71</v>
      </c>
      <c r="C26" s="13">
        <v>0.05</v>
      </c>
      <c r="D26" s="12" t="e" vm="14">
        <v>#VALUE!</v>
      </c>
      <c r="E26" s="17"/>
    </row>
    <row r="27" spans="2:5">
      <c r="B27" s="14" t="s">
        <v>72</v>
      </c>
      <c r="C27" s="13">
        <v>0.05</v>
      </c>
      <c r="D27" s="12" t="e" vm="15">
        <v>#VALUE!</v>
      </c>
      <c r="E27" s="17"/>
    </row>
    <row r="28" spans="2:5">
      <c r="B28" s="14" t="s">
        <v>73</v>
      </c>
      <c r="C28" s="13">
        <v>0.04</v>
      </c>
      <c r="D28" s="12" t="e" vm="16">
        <v>#VALUE!</v>
      </c>
      <c r="E28" s="17"/>
    </row>
    <row r="29" spans="2:5">
      <c r="B29" s="14" t="s">
        <v>74</v>
      </c>
      <c r="C29" s="13">
        <v>0.03</v>
      </c>
      <c r="D29" s="12" t="e" vm="17">
        <v>#VALUE!</v>
      </c>
      <c r="E29" s="17"/>
    </row>
    <row r="30" spans="2:5">
      <c r="B30" s="14" t="s">
        <v>75</v>
      </c>
      <c r="C30" s="13">
        <v>0.03</v>
      </c>
      <c r="D30" s="12" t="e" vm="18">
        <v>#VALUE!</v>
      </c>
      <c r="E30" s="17"/>
    </row>
    <row r="31" spans="2:5">
      <c r="B31" s="9" t="s">
        <v>76</v>
      </c>
      <c r="C31" s="16">
        <v>0.2</v>
      </c>
      <c r="D31" s="146" t="s">
        <v>55</v>
      </c>
      <c r="E31" s="146"/>
    </row>
    <row r="32" spans="2:5">
      <c r="B32" s="14" t="s">
        <v>77</v>
      </c>
      <c r="C32" s="13">
        <v>0.06</v>
      </c>
      <c r="D32" s="12" t="s">
        <v>78</v>
      </c>
      <c r="E32" s="15"/>
    </row>
    <row r="33" spans="2:5">
      <c r="B33" s="14" t="s">
        <v>79</v>
      </c>
      <c r="C33" s="13">
        <v>0.06</v>
      </c>
      <c r="D33" s="12" t="s">
        <v>80</v>
      </c>
      <c r="E33" s="15"/>
    </row>
    <row r="34" spans="2:5">
      <c r="B34" s="14" t="s">
        <v>81</v>
      </c>
      <c r="C34" s="13">
        <v>0.04</v>
      </c>
      <c r="D34" s="12" t="s">
        <v>82</v>
      </c>
      <c r="E34" s="15"/>
    </row>
    <row r="35" spans="2:5">
      <c r="B35" s="14" t="s">
        <v>83</v>
      </c>
      <c r="C35" s="13">
        <v>0.04</v>
      </c>
      <c r="D35" s="12" t="s">
        <v>84</v>
      </c>
    </row>
    <row r="37" spans="2:5">
      <c r="B37" s="135" t="s">
        <v>85</v>
      </c>
      <c r="C37" s="135"/>
    </row>
    <row r="38" spans="2:5">
      <c r="B38" s="11" t="s">
        <v>86</v>
      </c>
      <c r="C38" s="11" t="s">
        <v>87</v>
      </c>
    </row>
    <row r="39" spans="2:5">
      <c r="B39" s="8" t="s">
        <v>88</v>
      </c>
      <c r="C39" s="7">
        <v>0.6</v>
      </c>
    </row>
    <row r="40" spans="2:5">
      <c r="B40" s="8" t="s">
        <v>89</v>
      </c>
      <c r="C40" s="7">
        <v>0.2</v>
      </c>
    </row>
    <row r="41" spans="2:5">
      <c r="B41" s="8" t="s">
        <v>90</v>
      </c>
      <c r="C41" s="7">
        <v>0.2</v>
      </c>
    </row>
    <row r="43" spans="2:5">
      <c r="B43" s="21" t="s">
        <v>91</v>
      </c>
      <c r="C43" s="37" t="s">
        <v>92</v>
      </c>
    </row>
    <row r="44" spans="2:5">
      <c r="B44" s="5" t="s">
        <v>93</v>
      </c>
      <c r="C44" s="6">
        <v>9.9649999999999989E-2</v>
      </c>
    </row>
    <row r="45" spans="2:5">
      <c r="B45" s="9" t="s">
        <v>94</v>
      </c>
      <c r="C45" s="10">
        <v>4.1749999999999998</v>
      </c>
    </row>
  </sheetData>
  <sheetProtection algorithmName="SHA-512" hashValue="Io0y2NMhvDRlcz3YMcNiqWR9KyLDit2OusZD2sgyKOF0de4GThMUu+QdVkEzG6GAJbAyz3wsXpAZq/9NnExkOQ==" saltValue="MygDdNq8FeoYHRG7dkaivA==" spinCount="100000" sheet="1" objects="1" scenarios="1"/>
  <mergeCells count="13">
    <mergeCell ref="B37:C37"/>
    <mergeCell ref="B9:E9"/>
    <mergeCell ref="D10:E10"/>
    <mergeCell ref="B4:E7"/>
    <mergeCell ref="G4:O7"/>
    <mergeCell ref="D15:E15"/>
    <mergeCell ref="D23:E23"/>
    <mergeCell ref="D25:E25"/>
    <mergeCell ref="D11:E11"/>
    <mergeCell ref="D12:E12"/>
    <mergeCell ref="D13:E13"/>
    <mergeCell ref="D14:E14"/>
    <mergeCell ref="D31:E31"/>
  </mergeCells>
  <hyperlinks>
    <hyperlink ref="D15" r:id="rId1" display="https://es.finance.yahoo.com/quote/SPY/holdings/" xr:uid="{B0213958-3B85-4362-902F-5C5430843113}"/>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BACF7-C398-423E-A6D7-9B0159BCC922}">
  <dimension ref="B1:Q41"/>
  <sheetViews>
    <sheetView tabSelected="1" workbookViewId="0">
      <selection activeCell="H14" sqref="H14"/>
    </sheetView>
  </sheetViews>
  <sheetFormatPr defaultColWidth="11.42578125" defaultRowHeight="14.45"/>
  <cols>
    <col min="1" max="1" width="11.42578125" style="1"/>
    <col min="2" max="2" width="28.7109375" style="1" bestFit="1" customWidth="1"/>
    <col min="3" max="3" width="15.28515625" style="1" customWidth="1"/>
    <col min="4" max="4" width="18.85546875" style="1" customWidth="1"/>
    <col min="5" max="5" width="19.7109375" style="1" customWidth="1"/>
    <col min="6" max="8" width="11.42578125" style="1"/>
    <col min="9" max="9" width="16.28515625" style="1" customWidth="1"/>
    <col min="10" max="10" width="14" style="1" customWidth="1"/>
    <col min="11" max="11" width="13.85546875" style="1" customWidth="1"/>
    <col min="12" max="12" width="13.5703125" style="1" customWidth="1"/>
    <col min="13" max="13" width="13.7109375" style="1" customWidth="1"/>
    <col min="14" max="14" width="14.28515625" style="1" customWidth="1"/>
    <col min="15" max="15" width="12.85546875" style="1" customWidth="1"/>
    <col min="16" max="16" width="13.140625" style="1" customWidth="1"/>
    <col min="17" max="17" width="12.85546875" style="1" customWidth="1"/>
    <col min="18" max="16384" width="11.42578125" style="1"/>
  </cols>
  <sheetData>
    <row r="1" spans="2:17" ht="15.6">
      <c r="B1" s="21" t="s">
        <v>95</v>
      </c>
    </row>
    <row r="3" spans="2:17" ht="15.6">
      <c r="B3" s="20" t="s">
        <v>49</v>
      </c>
      <c r="C3" s="4"/>
      <c r="D3" s="4"/>
      <c r="E3" s="4"/>
      <c r="F3" s="4"/>
      <c r="I3" s="20" t="s">
        <v>50</v>
      </c>
      <c r="J3" s="4"/>
      <c r="K3" s="4"/>
      <c r="L3" s="4"/>
      <c r="M3" s="4"/>
      <c r="N3" s="4"/>
      <c r="O3" s="4"/>
      <c r="P3" s="4"/>
      <c r="Q3" s="4"/>
    </row>
    <row r="4" spans="2:17" ht="20.25" customHeight="1">
      <c r="B4" s="126" t="s">
        <v>96</v>
      </c>
      <c r="C4" s="127"/>
      <c r="D4" s="127"/>
      <c r="E4" s="127"/>
      <c r="F4" s="127"/>
      <c r="G4" s="128"/>
      <c r="I4" s="126" t="s">
        <v>97</v>
      </c>
      <c r="J4" s="127"/>
      <c r="K4" s="127"/>
      <c r="L4" s="127"/>
      <c r="M4" s="127"/>
      <c r="N4" s="127"/>
      <c r="O4" s="127"/>
      <c r="P4" s="127"/>
      <c r="Q4" s="128"/>
    </row>
    <row r="5" spans="2:17" ht="19.5" customHeight="1">
      <c r="B5" s="129"/>
      <c r="C5" s="130"/>
      <c r="D5" s="130"/>
      <c r="E5" s="130"/>
      <c r="F5" s="130"/>
      <c r="G5" s="131"/>
      <c r="I5" s="129"/>
      <c r="J5" s="130"/>
      <c r="K5" s="130"/>
      <c r="L5" s="130"/>
      <c r="M5" s="130"/>
      <c r="N5" s="130"/>
      <c r="O5" s="130"/>
      <c r="P5" s="130"/>
      <c r="Q5" s="131"/>
    </row>
    <row r="6" spans="2:17" ht="18.75" customHeight="1">
      <c r="B6" s="129"/>
      <c r="C6" s="130"/>
      <c r="D6" s="130"/>
      <c r="E6" s="130"/>
      <c r="F6" s="130"/>
      <c r="G6" s="131"/>
      <c r="I6" s="129"/>
      <c r="J6" s="130"/>
      <c r="K6" s="130"/>
      <c r="L6" s="130"/>
      <c r="M6" s="130"/>
      <c r="N6" s="130"/>
      <c r="O6" s="130"/>
      <c r="P6" s="130"/>
      <c r="Q6" s="131"/>
    </row>
    <row r="7" spans="2:17" ht="19.5" customHeight="1">
      <c r="B7" s="132"/>
      <c r="C7" s="133"/>
      <c r="D7" s="133"/>
      <c r="E7" s="133"/>
      <c r="F7" s="133"/>
      <c r="G7" s="134"/>
      <c r="I7" s="132"/>
      <c r="J7" s="133"/>
      <c r="K7" s="133"/>
      <c r="L7" s="133"/>
      <c r="M7" s="133"/>
      <c r="N7" s="133"/>
      <c r="O7" s="133"/>
      <c r="P7" s="133"/>
      <c r="Q7" s="134"/>
    </row>
    <row r="9" spans="2:17" ht="16.5" customHeight="1">
      <c r="B9" s="135" t="s">
        <v>98</v>
      </c>
      <c r="C9" s="135"/>
      <c r="D9" s="135"/>
      <c r="E9" s="135"/>
    </row>
    <row r="10" spans="2:17" ht="15.6">
      <c r="B10" s="9" t="s">
        <v>99</v>
      </c>
      <c r="C10" s="16">
        <v>0.4</v>
      </c>
      <c r="D10" s="86" t="s">
        <v>100</v>
      </c>
      <c r="E10" s="16" t="s">
        <v>101</v>
      </c>
    </row>
    <row r="11" spans="2:17" ht="15.6">
      <c r="B11" s="14" t="s">
        <v>79</v>
      </c>
      <c r="C11" s="87">
        <v>0.12</v>
      </c>
      <c r="D11" s="36">
        <v>0.10100000000000001</v>
      </c>
      <c r="E11" s="33">
        <v>1.95</v>
      </c>
    </row>
    <row r="12" spans="2:17" ht="15.6">
      <c r="B12" s="14" t="s">
        <v>77</v>
      </c>
      <c r="C12" s="87">
        <v>0.1</v>
      </c>
      <c r="D12" s="36">
        <v>9.6000000000000002E-2</v>
      </c>
      <c r="E12" s="33">
        <v>6.05</v>
      </c>
    </row>
    <row r="13" spans="2:17" ht="15.6">
      <c r="B13" s="14" t="s">
        <v>102</v>
      </c>
      <c r="C13" s="87">
        <v>0.1</v>
      </c>
      <c r="D13" s="36">
        <v>0.10199999999999999</v>
      </c>
      <c r="E13" s="33">
        <v>4.76</v>
      </c>
    </row>
    <row r="14" spans="2:17" ht="15.6">
      <c r="B14" s="14" t="s">
        <v>103</v>
      </c>
      <c r="C14" s="87">
        <v>0.04</v>
      </c>
      <c r="D14" s="36">
        <v>0.08</v>
      </c>
      <c r="E14" s="33">
        <v>5.45</v>
      </c>
    </row>
    <row r="15" spans="2:17" ht="15.6">
      <c r="B15" s="14" t="s">
        <v>83</v>
      </c>
      <c r="C15" s="87">
        <v>0.04</v>
      </c>
      <c r="D15" s="36">
        <v>7.9000000000000001E-2</v>
      </c>
      <c r="E15" s="33">
        <v>4.25</v>
      </c>
    </row>
    <row r="16" spans="2:17" ht="15.6">
      <c r="B16" s="9" t="s">
        <v>104</v>
      </c>
      <c r="C16" s="16">
        <v>0.35</v>
      </c>
      <c r="D16" s="16" t="s">
        <v>100</v>
      </c>
      <c r="E16" s="16" t="s">
        <v>101</v>
      </c>
    </row>
    <row r="17" spans="2:5" ht="15.6">
      <c r="B17" s="14" t="s">
        <v>105</v>
      </c>
      <c r="C17" s="87">
        <v>7.0000000000000007E-2</v>
      </c>
      <c r="D17" s="36">
        <v>7.9000000000000001E-2</v>
      </c>
      <c r="E17" s="33">
        <v>5.0599999999999996</v>
      </c>
    </row>
    <row r="18" spans="2:5" ht="15.6">
      <c r="B18" s="14" t="s">
        <v>106</v>
      </c>
      <c r="C18" s="87">
        <v>7.0000000000000007E-2</v>
      </c>
      <c r="D18" s="36">
        <v>7.6999999999999999E-2</v>
      </c>
      <c r="E18" s="33">
        <v>4.25</v>
      </c>
    </row>
    <row r="19" spans="2:5" ht="15.6">
      <c r="B19" s="14" t="s">
        <v>107</v>
      </c>
      <c r="C19" s="87">
        <v>5.2499999999999998E-2</v>
      </c>
      <c r="D19" s="36">
        <v>7.3999999999999996E-2</v>
      </c>
      <c r="E19" s="33">
        <v>3.97</v>
      </c>
    </row>
    <row r="20" spans="2:5" ht="15.6">
      <c r="B20" s="14" t="s">
        <v>108</v>
      </c>
      <c r="C20" s="87">
        <v>5.2499999999999998E-2</v>
      </c>
      <c r="D20" s="36">
        <v>7.4999999999999997E-2</v>
      </c>
      <c r="E20" s="33">
        <v>5.87</v>
      </c>
    </row>
    <row r="21" spans="2:5" ht="15.6">
      <c r="B21" s="14" t="s">
        <v>109</v>
      </c>
      <c r="C21" s="87">
        <v>3.5000000000000003E-2</v>
      </c>
      <c r="D21" s="36">
        <v>7.5999999999999998E-2</v>
      </c>
      <c r="E21" s="33">
        <v>7.62</v>
      </c>
    </row>
    <row r="22" spans="2:5" ht="15.6">
      <c r="B22" s="14" t="s">
        <v>110</v>
      </c>
      <c r="C22" s="87">
        <v>3.5000000000000003E-2</v>
      </c>
      <c r="D22" s="36">
        <v>8.5999999999999993E-2</v>
      </c>
      <c r="E22" s="33">
        <v>1.5</v>
      </c>
    </row>
    <row r="23" spans="2:5" ht="15.6">
      <c r="B23" s="14" t="s">
        <v>111</v>
      </c>
      <c r="C23" s="87">
        <v>3.5000000000000003E-2</v>
      </c>
      <c r="D23" s="36">
        <v>9.9000000000000005E-2</v>
      </c>
      <c r="E23" s="33">
        <v>3.45</v>
      </c>
    </row>
    <row r="24" spans="2:5" ht="15.6">
      <c r="B24" s="9" t="s">
        <v>112</v>
      </c>
      <c r="C24" s="88">
        <v>0.25</v>
      </c>
      <c r="D24" s="86"/>
      <c r="E24" s="16"/>
    </row>
    <row r="25" spans="2:5" ht="16.5" customHeight="1">
      <c r="B25" s="14" t="s">
        <v>113</v>
      </c>
      <c r="C25" s="87">
        <v>0.05</v>
      </c>
      <c r="D25" s="125" t="e" vm="19">
        <v>#VALUE!</v>
      </c>
      <c r="E25" s="125"/>
    </row>
    <row r="26" spans="2:5" ht="16.5" customHeight="1">
      <c r="B26" s="14" t="s">
        <v>68</v>
      </c>
      <c r="C26" s="87">
        <v>0.05</v>
      </c>
      <c r="D26" s="125" t="e" vm="3">
        <v>#VALUE!</v>
      </c>
      <c r="E26" s="125"/>
    </row>
    <row r="27" spans="2:5" ht="16.5" customHeight="1">
      <c r="B27" s="14" t="s">
        <v>114</v>
      </c>
      <c r="C27" s="87">
        <v>0.05</v>
      </c>
      <c r="D27" s="125" t="e" vm="20">
        <v>#VALUE!</v>
      </c>
      <c r="E27" s="125"/>
    </row>
    <row r="28" spans="2:5" ht="16.5" customHeight="1">
      <c r="B28" s="14" t="s">
        <v>115</v>
      </c>
      <c r="C28" s="87">
        <v>2.5000000000000001E-2</v>
      </c>
      <c r="D28" s="125" t="e" vm="21">
        <v>#VALUE!</v>
      </c>
      <c r="E28" s="125"/>
    </row>
    <row r="29" spans="2:5" ht="16.5" customHeight="1">
      <c r="B29" s="14" t="s">
        <v>116</v>
      </c>
      <c r="C29" s="87">
        <v>2.5000000000000001E-2</v>
      </c>
      <c r="D29" s="125" t="s">
        <v>117</v>
      </c>
      <c r="E29" s="125"/>
    </row>
    <row r="30" spans="2:5" ht="16.5" customHeight="1">
      <c r="B30" s="14" t="s">
        <v>118</v>
      </c>
      <c r="C30" s="87">
        <v>2.5000000000000001E-2</v>
      </c>
      <c r="D30" s="125" t="e" vm="22">
        <v>#VALUE!</v>
      </c>
      <c r="E30" s="125"/>
    </row>
    <row r="33" spans="2:3" ht="15">
      <c r="B33" s="38" t="s">
        <v>85</v>
      </c>
      <c r="C33" s="39"/>
    </row>
    <row r="34" spans="2:3" ht="15">
      <c r="B34" s="11" t="s">
        <v>86</v>
      </c>
      <c r="C34" s="89" t="s">
        <v>87</v>
      </c>
    </row>
    <row r="35" spans="2:3" ht="15">
      <c r="B35" s="8" t="s">
        <v>119</v>
      </c>
      <c r="C35" s="66">
        <v>0.4</v>
      </c>
    </row>
    <row r="36" spans="2:3" ht="15">
      <c r="B36" s="8" t="s">
        <v>120</v>
      </c>
      <c r="C36" s="91">
        <v>0.35</v>
      </c>
    </row>
    <row r="37" spans="2:3" ht="15">
      <c r="B37" s="8" t="s">
        <v>112</v>
      </c>
      <c r="C37" s="91">
        <v>0.25</v>
      </c>
    </row>
    <row r="39" spans="2:3" ht="15.6">
      <c r="B39" s="21" t="s">
        <v>91</v>
      </c>
      <c r="C39" s="37" t="s">
        <v>92</v>
      </c>
    </row>
    <row r="40" spans="2:3" ht="15.6">
      <c r="B40" s="5" t="s">
        <v>93</v>
      </c>
      <c r="C40" s="6">
        <v>8.8209999999999997E-2</v>
      </c>
    </row>
    <row r="41" spans="2:3" ht="15.6">
      <c r="B41" s="9" t="s">
        <v>94</v>
      </c>
      <c r="C41" s="90">
        <v>4.415</v>
      </c>
    </row>
  </sheetData>
  <sheetProtection algorithmName="SHA-512" hashValue="HPnXeUB3wADqMutwXkFAUzhd4oQlccNTqkBi2xwBf9+Gd+f4wUigdztUCFzS6u2P/5SwEXhYq6WGFXmHHCnoHw==" saltValue="lZq18AXa0WHFUrF3YngpOQ==" spinCount="100000" sheet="1" objects="1" scenarios="1"/>
  <mergeCells count="9">
    <mergeCell ref="D30:E30"/>
    <mergeCell ref="I4:Q7"/>
    <mergeCell ref="B4:G7"/>
    <mergeCell ref="B9:E9"/>
    <mergeCell ref="D25:E25"/>
    <mergeCell ref="D26:E26"/>
    <mergeCell ref="D27:E27"/>
    <mergeCell ref="D28:E28"/>
    <mergeCell ref="D29:E2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E7CDC-219E-4B60-9FF9-4DB36EC3D386}">
  <dimension ref="B2:T56"/>
  <sheetViews>
    <sheetView topLeftCell="A31" workbookViewId="0">
      <selection activeCell="E12" sqref="E12"/>
    </sheetView>
  </sheetViews>
  <sheetFormatPr defaultColWidth="11.42578125" defaultRowHeight="15.6"/>
  <cols>
    <col min="1" max="1" width="11.42578125" style="4"/>
    <col min="2" max="2" width="31.140625" style="4" customWidth="1"/>
    <col min="3" max="3" width="11.42578125" style="4"/>
    <col min="4" max="4" width="11.42578125" style="4" hidden="1" customWidth="1"/>
    <col min="5" max="5" width="16.7109375" style="4" customWidth="1"/>
    <col min="6" max="6" width="11.5703125" style="4" bestFit="1" customWidth="1"/>
    <col min="7" max="7" width="14.140625" style="4" customWidth="1"/>
    <col min="8" max="11" width="11.5703125" style="4" bestFit="1" customWidth="1"/>
    <col min="12" max="12" width="11.42578125" style="4" hidden="1" customWidth="1"/>
    <col min="13" max="13" width="12.5703125" style="4" hidden="1" customWidth="1"/>
    <col min="14" max="15" width="10.28515625" style="4" hidden="1" customWidth="1"/>
    <col min="16" max="18" width="13.28515625" style="4" hidden="1" customWidth="1"/>
    <col min="19" max="16384" width="11.42578125" style="4"/>
  </cols>
  <sheetData>
    <row r="2" spans="2:20">
      <c r="B2" s="20" t="s">
        <v>121</v>
      </c>
    </row>
    <row r="4" spans="2:20">
      <c r="B4" s="99" t="s">
        <v>122</v>
      </c>
      <c r="C4" s="99" t="s">
        <v>123</v>
      </c>
      <c r="D4" s="99" t="s">
        <v>123</v>
      </c>
      <c r="E4" s="99" t="s">
        <v>124</v>
      </c>
      <c r="F4" s="99" t="s">
        <v>125</v>
      </c>
      <c r="G4" s="99" t="s">
        <v>126</v>
      </c>
      <c r="H4" s="99" t="s">
        <v>127</v>
      </c>
      <c r="I4" s="99">
        <v>2024</v>
      </c>
      <c r="J4" s="99">
        <v>2022</v>
      </c>
      <c r="K4" s="99">
        <v>2020</v>
      </c>
      <c r="N4" s="21" t="s">
        <v>126</v>
      </c>
      <c r="O4" s="21" t="s">
        <v>127</v>
      </c>
      <c r="P4" s="21" t="s">
        <v>128</v>
      </c>
      <c r="Q4" s="21" t="s">
        <v>129</v>
      </c>
      <c r="R4" s="21" t="s">
        <v>130</v>
      </c>
    </row>
    <row r="5" spans="2:20">
      <c r="B5" s="100" t="s">
        <v>131</v>
      </c>
      <c r="C5" s="101" t="s">
        <v>132</v>
      </c>
      <c r="D5" s="101" t="e" vm="23">
        <v>#VALUE!</v>
      </c>
      <c r="E5" s="102" cm="1">
        <f t="array" aca="1" ref="E5" ca="1">_FV(D5,"Price")</f>
        <v>144.21</v>
      </c>
      <c r="F5" s="103" cm="1">
        <f t="array" aca="1" ref="F5" ca="1">+_FV(D5,"Change (%)",TRUE)</f>
        <v>-1.5833E-2</v>
      </c>
      <c r="G5" s="104" cm="1">
        <f t="array" ref="G5">+_xll.TR(C5,"cf_last")/N5-1</f>
        <v>1.4690560533444641E-2</v>
      </c>
      <c r="H5" s="104" cm="1">
        <f t="array" ref="H5">+_xll.TR(C5,"cf_last")/O5-1</f>
        <v>1.4690560533444641E-2</v>
      </c>
      <c r="I5" s="104" cm="1">
        <f t="array" ref="I5">+_xll.TR(C5,"cf_last")/P5-1</f>
        <v>0.53789872618170342</v>
      </c>
      <c r="J5" s="104" cm="1">
        <f t="array" ref="J5">+_xll.TR(C5,"cf_last")/Q5-1</f>
        <v>0.73148038402275684</v>
      </c>
      <c r="K5" s="104" cm="1">
        <f t="array" ref="K5">+_xll.TR(C5,"cf_last")/R5-1</f>
        <v>2.361366774045099</v>
      </c>
      <c r="N5" s="105">
        <v>143.97</v>
      </c>
      <c r="O5" s="105">
        <v>143.97</v>
      </c>
      <c r="P5" s="105">
        <v>94.99</v>
      </c>
      <c r="Q5" s="106">
        <v>84.37</v>
      </c>
      <c r="R5" s="106">
        <v>43.46</v>
      </c>
      <c r="S5" s="115"/>
      <c r="T5" s="115"/>
    </row>
    <row r="6" spans="2:20">
      <c r="B6" s="100" t="s">
        <v>133</v>
      </c>
      <c r="C6" s="101" t="s">
        <v>61</v>
      </c>
      <c r="D6" s="101" t="e" vm="24">
        <v>#VALUE!</v>
      </c>
      <c r="E6" s="102" cm="1">
        <f t="array" aca="1" ref="E6" ca="1">_FV(D6,"Price")</f>
        <v>55.954999999999998</v>
      </c>
      <c r="F6" s="103" cm="1">
        <f t="array" aca="1" ref="F6" ca="1">+_FV(D6,"Change (%)",TRUE)</f>
        <v>6.2039999999999994E-3</v>
      </c>
      <c r="G6" s="104" cm="1">
        <f t="array" ref="G6">+_xll.TR(C6,"cf_last")/N6-1</f>
        <v>2.026656928975723E-2</v>
      </c>
      <c r="H6" s="104" cm="1">
        <f t="array" ref="H6">+_xll.TR(C6,"cf_last")/O6-1</f>
        <v>2.026656928975723E-2</v>
      </c>
      <c r="I6" s="104" cm="1">
        <f t="array" ref="I6">+_xll.TR(C6,"cf_last")/P6-1</f>
        <v>0.53053957819775421</v>
      </c>
      <c r="J6" s="104" cm="1">
        <f t="array" ref="J6">+_xll.TR(C6,"cf_last")/Q6-1</f>
        <v>0.43098591549295784</v>
      </c>
      <c r="K6" s="104" cm="1">
        <f t="array" ref="K6">+_xll.TR(C6,"cf_last")/R6-1</f>
        <v>0.81546458739441197</v>
      </c>
      <c r="N6" s="105">
        <v>54.77</v>
      </c>
      <c r="O6" s="105">
        <v>54.77</v>
      </c>
      <c r="P6" s="105">
        <v>36.51</v>
      </c>
      <c r="Q6" s="106">
        <v>39.049999999999997</v>
      </c>
      <c r="R6" s="106">
        <v>30.78</v>
      </c>
    </row>
    <row r="7" spans="2:20">
      <c r="B7" s="100" t="s">
        <v>134</v>
      </c>
      <c r="C7" s="101" t="s">
        <v>135</v>
      </c>
      <c r="D7" s="101" t="e" vm="25">
        <v>#VALUE!</v>
      </c>
      <c r="E7" s="102" cm="1">
        <f t="array" aca="1" ref="E7" ca="1">_FV(D7,"Price")</f>
        <v>117.47</v>
      </c>
      <c r="F7" s="103" cm="1">
        <f t="array" aca="1" ref="F7" ca="1">+_FV(D7,"Change (%)",TRUE)</f>
        <v>3.2450000000000001E-3</v>
      </c>
      <c r="G7" s="104" cm="1">
        <f t="array" ref="G7">+_xll.TR(C7,"cf_last")/N7-1</f>
        <v>3.0156303092083725E-3</v>
      </c>
      <c r="H7" s="104" cm="1">
        <f t="array" ref="H7">+_xll.TR(C7,"cf_last")/O7-1</f>
        <v>3.0156303092083725E-3</v>
      </c>
      <c r="I7" s="104" cm="1">
        <f t="array" ref="I7">+_xll.TR(C7,"cf_last")/P7-1</f>
        <v>0.66302816901408446</v>
      </c>
      <c r="J7" s="104" cm="1">
        <f t="array" ref="J7">+_xll.TR(C7,"cf_last")/Q7-1</f>
        <v>0.52001802265705455</v>
      </c>
      <c r="K7" s="104" cm="1">
        <f t="array" ref="K7">+_xll.TR(C7,"cf_last")/R7-1</f>
        <v>1.2057724640388567</v>
      </c>
      <c r="N7" s="105">
        <v>117.72</v>
      </c>
      <c r="O7" s="105">
        <v>117.72</v>
      </c>
      <c r="P7" s="105">
        <v>71</v>
      </c>
      <c r="Q7" s="106">
        <v>77.680000000000007</v>
      </c>
      <c r="R7" s="106">
        <v>53.53</v>
      </c>
    </row>
    <row r="8" spans="2:20">
      <c r="B8" s="100" t="s">
        <v>136</v>
      </c>
      <c r="C8" s="101" t="s">
        <v>137</v>
      </c>
      <c r="D8" s="101" t="e" vm="26">
        <v>#VALUE!</v>
      </c>
      <c r="E8" s="102" cm="1">
        <f t="array" aca="1" ref="E8" ca="1">_FV(D8,"Price")</f>
        <v>158.47</v>
      </c>
      <c r="F8" s="103" cm="1">
        <f t="array" aca="1" ref="F8" ca="1">+_FV(D8,"Change (%)",TRUE)</f>
        <v>-7.4529999999999996E-3</v>
      </c>
      <c r="G8" s="104" cm="1">
        <f t="array" ref="G8">+_xll.TR(C8,"cf_last")/N8-1</f>
        <v>2.2060723514211844E-2</v>
      </c>
      <c r="H8" s="104" cm="1">
        <f t="array" ref="H8">+_xll.TR(C8,"cf_last")/O8-1</f>
        <v>2.2060723514211844E-2</v>
      </c>
      <c r="I8" s="104" cm="1">
        <f t="array" ref="I8">+_xll.TR(C8,"cf_last")/P8-1</f>
        <v>0.1992344425073902</v>
      </c>
      <c r="J8" s="104" cm="1">
        <f t="array" ref="J8">+_xll.TR(C8,"cf_last")/Q8-1</f>
        <v>0.12296827312087455</v>
      </c>
      <c r="K8" s="104" cm="1">
        <f t="array" ref="K8">+_xll.TR(C8,"cf_last")/R8-1</f>
        <v>0.55325937561358729</v>
      </c>
      <c r="N8" s="105">
        <v>154.80000000000001</v>
      </c>
      <c r="O8" s="105">
        <v>154.80000000000001</v>
      </c>
      <c r="P8" s="105">
        <v>131.93</v>
      </c>
      <c r="Q8" s="106">
        <v>140.88999999999999</v>
      </c>
      <c r="R8" s="106">
        <v>101.86</v>
      </c>
    </row>
    <row r="9" spans="2:20">
      <c r="B9" s="100" t="s">
        <v>138</v>
      </c>
      <c r="C9" s="101" t="s">
        <v>139</v>
      </c>
      <c r="D9" s="101" t="e" vm="27">
        <v>#VALUE!</v>
      </c>
      <c r="E9" s="102" cm="1">
        <f t="array" aca="1" ref="E9" ca="1">_FV(D9,"Price")</f>
        <v>122.8</v>
      </c>
      <c r="F9" s="103" cm="1">
        <f t="array" aca="1" ref="F9" ca="1">+_FV(D9,"Change (%)",TRUE)</f>
        <v>1.5715E-2</v>
      </c>
      <c r="G9" s="104" cm="1">
        <f t="array" ref="G9">+_xll.TR(C9,"cf_last")/N9-1</f>
        <v>4.0783853948580528E-2</v>
      </c>
      <c r="H9" s="104" cm="1">
        <f t="array" ref="H9">+_xll.TR(C9,"cf_last")/O9-1</f>
        <v>4.0783853948580528E-2</v>
      </c>
      <c r="I9" s="104" cm="1">
        <f t="array" ref="I9">+_xll.TR(C9,"cf_last")/P9-1</f>
        <v>0.41371857581617566</v>
      </c>
      <c r="J9" s="104" cm="1">
        <f t="array" ref="J9">+_xll.TR(C9,"cf_last")/Q9-1</f>
        <v>0.25257004636162073</v>
      </c>
      <c r="K9" s="104" cm="1">
        <f t="array" ref="K9">+_xll.TR(C9,"cf_last")/R9-1</f>
        <v>1.0716786131021836</v>
      </c>
      <c r="N9" s="105">
        <v>119.41</v>
      </c>
      <c r="O9" s="105">
        <v>119.41</v>
      </c>
      <c r="P9" s="105">
        <v>87.91</v>
      </c>
      <c r="Q9" s="106">
        <v>99.22</v>
      </c>
      <c r="R9" s="106">
        <v>59.99</v>
      </c>
    </row>
    <row r="10" spans="2:20">
      <c r="B10" s="100" t="s">
        <v>140</v>
      </c>
      <c r="C10" s="101" t="s">
        <v>62</v>
      </c>
      <c r="D10" s="101" t="e" vm="7">
        <v>#VALUE!</v>
      </c>
      <c r="E10" s="102" cm="1">
        <f t="array" aca="1" ref="E10" ca="1">_FV(D10,"Price")</f>
        <v>46.585000000000001</v>
      </c>
      <c r="F10" s="103" cm="1">
        <f t="array" aca="1" ref="F10" ca="1">+_FV(D10,"Change (%)",TRUE)</f>
        <v>3.2240000000000005E-2</v>
      </c>
      <c r="G10" s="104" cm="1">
        <f t="array" ref="G10">+_xll.TR(C10,"cf_last")/N10-1</f>
        <v>4.3602415026833707E-2</v>
      </c>
      <c r="H10" s="104" cm="1">
        <f t="array" ref="H10">+_xll.TR(C10,"cf_last")/O10-1</f>
        <v>4.3602415026833707E-2</v>
      </c>
      <c r="I10" s="104" cm="1">
        <f t="array" ref="I10">+_xll.TR(C10,"cf_last")/P10-1</f>
        <v>0.1887391747325522</v>
      </c>
      <c r="J10" s="104" cm="1">
        <f t="array" ref="J10">+_xll.TR(C10,"cf_last")/Q10-1</f>
        <v>0.92453195876288663</v>
      </c>
      <c r="K10" s="104" cm="1">
        <f t="array" ref="K10">+_xll.TR(C10,"cf_last")/R10-1</f>
        <v>0.99103668941979506</v>
      </c>
      <c r="N10" s="105">
        <v>44.72</v>
      </c>
      <c r="O10" s="105">
        <v>44.72</v>
      </c>
      <c r="P10" s="105">
        <v>39.26</v>
      </c>
      <c r="Q10" s="106">
        <v>24.25</v>
      </c>
      <c r="R10" s="106">
        <v>23.44</v>
      </c>
    </row>
    <row r="11" spans="2:20">
      <c r="B11" s="100" t="s">
        <v>141</v>
      </c>
      <c r="C11" s="101" t="s">
        <v>142</v>
      </c>
      <c r="D11" s="101" t="e" vm="28">
        <v>#VALUE!</v>
      </c>
      <c r="E11" s="102" cm="1">
        <f t="array" aca="1" ref="E11" ca="1">_FV(D11,"Price")</f>
        <v>78.454999999999998</v>
      </c>
      <c r="F11" s="103" cm="1">
        <f t="array" aca="1" ref="F11" ca="1">+_FV(D11,"Change (%)",TRUE)</f>
        <v>2.3948999999999998E-2</v>
      </c>
      <c r="G11" s="104" cm="1">
        <f t="array" ref="G11">+_xll.TR(C11,"cf_last")/N11-1</f>
        <v>1.8859423274974141E-2</v>
      </c>
      <c r="H11" s="104" cm="1">
        <f t="array" ref="H11">+_xll.TR(C11,"cf_last")/O11-1</f>
        <v>1.8859423274974141E-2</v>
      </c>
      <c r="I11" s="104" cm="1">
        <f t="array" ref="I11">+_xll.TR(C11,"cf_last")/P11-1</f>
        <v>0.16048387096774186</v>
      </c>
      <c r="J11" s="104" cm="1">
        <f t="array" ref="J11">+_xll.TR(C11,"cf_last")/Q11-1</f>
        <v>2.6390870185449389E-2</v>
      </c>
      <c r="K11" s="104" cm="1">
        <f t="array" ref="K11">+_xll.TR(C11,"cf_last")/R11-1</f>
        <v>0.2566687837408701</v>
      </c>
      <c r="N11" s="105">
        <v>77.680000000000007</v>
      </c>
      <c r="O11" s="105">
        <v>77.680000000000007</v>
      </c>
      <c r="P11" s="105">
        <v>68.2</v>
      </c>
      <c r="Q11" s="106">
        <v>77.11</v>
      </c>
      <c r="R11" s="106">
        <v>62.98</v>
      </c>
    </row>
    <row r="12" spans="2:20">
      <c r="B12" s="100" t="s">
        <v>143</v>
      </c>
      <c r="C12" s="101" t="s">
        <v>144</v>
      </c>
      <c r="D12" s="101" t="e" vm="29">
        <v>#VALUE!</v>
      </c>
      <c r="E12" s="102" cm="1">
        <f t="array" aca="1" ref="E12" ca="1">_FV(D12,"Price")</f>
        <v>40.475000000000001</v>
      </c>
      <c r="F12" s="103" cm="1">
        <f t="array" aca="1" ref="F12" ca="1">+_FV(D12,"Change (%)",TRUE)</f>
        <v>8.3459999999999993E-3</v>
      </c>
      <c r="G12" s="104" cm="1">
        <f t="array" ref="G12">+_xll.TR(C12,"cf_last")/N12-1</f>
        <v>7.5786864931846054E-3</v>
      </c>
      <c r="H12" s="104" cm="1">
        <f t="array" ref="H12">+_xll.TR(C12,"cf_last")/O12-1</f>
        <v>7.5786864931846054E-3</v>
      </c>
      <c r="I12" s="104" cm="1">
        <f t="array" ref="I12">+_xll.TR(C12,"cf_last")/P12-1</f>
        <v>8.6762897620957125E-2</v>
      </c>
      <c r="J12" s="104" cm="1">
        <f t="array" ref="J12">+_xll.TR(C12,"cf_last")/Q12-1</f>
        <v>-0.21529048446245902</v>
      </c>
      <c r="K12" s="104" cm="1">
        <f t="array" ref="K12">+_xll.TR(C12,"cf_last")/R12-1</f>
        <v>5.1352469614688312E-2</v>
      </c>
      <c r="N12" s="105">
        <v>40.35</v>
      </c>
      <c r="O12" s="105">
        <v>40.35</v>
      </c>
      <c r="P12" s="105">
        <v>37.409999999999997</v>
      </c>
      <c r="Q12" s="106">
        <v>51.81</v>
      </c>
      <c r="R12" s="106">
        <v>38.67</v>
      </c>
    </row>
    <row r="13" spans="2:20">
      <c r="B13" s="100" t="s">
        <v>145</v>
      </c>
      <c r="C13" s="101" t="s">
        <v>146</v>
      </c>
      <c r="D13" s="101" t="e" vm="30">
        <v>#VALUE!</v>
      </c>
      <c r="E13" s="102" cm="1">
        <f t="array" aca="1" ref="E13" ca="1">_FV(D13,"Price")</f>
        <v>160.14500000000001</v>
      </c>
      <c r="F13" s="103" cm="1">
        <f t="array" aca="1" ref="F13" ca="1">+_FV(D13,"Change (%)",TRUE)</f>
        <v>7.391E-3</v>
      </c>
      <c r="G13" s="104" cm="1">
        <f t="array" ref="G13">+_xll.TR(C13,"cf_last")/N13-1</f>
        <v>4.4449458483754478E-2</v>
      </c>
      <c r="H13" s="104" cm="1">
        <f t="array" ref="H13">+_xll.TR(C13,"cf_last")/O13-1</f>
        <v>4.4449458483754478E-2</v>
      </c>
      <c r="I13" s="104" cm="1">
        <f t="array" ref="I13">+_xll.TR(C13,"cf_last")/P13-1</f>
        <v>0.46222924187725623</v>
      </c>
      <c r="J13" s="104" cm="1">
        <f t="array" ref="J13">+_xll.TR(C13,"cf_last")/Q13-1</f>
        <v>0.53118797845194199</v>
      </c>
      <c r="K13" s="104" cm="1">
        <f t="array" ref="K13">+_xll.TR(C13,"cf_last")/R13-1</f>
        <v>0.98864612740886204</v>
      </c>
      <c r="N13" s="105">
        <v>155.12</v>
      </c>
      <c r="O13" s="105">
        <v>155.12</v>
      </c>
      <c r="P13" s="105">
        <v>110.8</v>
      </c>
      <c r="Q13" s="106">
        <v>105.81</v>
      </c>
      <c r="R13" s="106">
        <v>81.47</v>
      </c>
    </row>
    <row r="14" spans="2:20">
      <c r="B14" s="100" t="s">
        <v>147</v>
      </c>
      <c r="C14" s="101" t="s">
        <v>148</v>
      </c>
      <c r="D14" s="101" t="e" vm="31">
        <v>#VALUE!</v>
      </c>
      <c r="E14" s="102" cm="1">
        <f t="array" aca="1" ref="E14" ca="1">_FV(D14,"Price")</f>
        <v>42.005000000000003</v>
      </c>
      <c r="F14" s="103" cm="1">
        <f t="array" aca="1" ref="F14" ca="1">+_FV(D14,"Change (%)",TRUE)</f>
        <v>3.2240000000000003E-3</v>
      </c>
      <c r="G14" s="104" cm="1">
        <f t="array" ref="G14">+_xll.TR(C14,"cf_last")/N14-1</f>
        <v>-1.1176194939080952E-3</v>
      </c>
      <c r="H14" s="104" cm="1">
        <f t="array" ref="H14">+_xll.TR(C14,"cf_last")/O14-1</f>
        <v>-1.1176194939080952E-3</v>
      </c>
      <c r="I14" s="104" cm="1">
        <f t="array" ref="I14">+_xll.TR(C14,"cf_last")/P14-1</f>
        <v>0.42869638069705096</v>
      </c>
      <c r="J14" s="104" cm="1">
        <f t="array" ref="J14">+_xll.TR(C14,"cf_last")/Q14-1</f>
        <v>0.3402169129204653</v>
      </c>
      <c r="K14" s="104" cm="1">
        <f t="array" ref="K14">+_xll.TR(C14,"cf_last")/R14-1</f>
        <v>0.57955909596146737</v>
      </c>
      <c r="N14" s="105">
        <v>42.68</v>
      </c>
      <c r="O14" s="105">
        <v>42.68</v>
      </c>
      <c r="P14" s="105">
        <v>29.84</v>
      </c>
      <c r="Q14" s="106">
        <v>31.81</v>
      </c>
      <c r="R14" s="106">
        <v>26.99</v>
      </c>
    </row>
    <row r="15" spans="2:20">
      <c r="B15" s="100" t="s">
        <v>149</v>
      </c>
      <c r="C15" s="101" t="s">
        <v>150</v>
      </c>
      <c r="D15" s="101" t="e" vm="32">
        <v>#VALUE!</v>
      </c>
      <c r="E15" s="102" cm="1">
        <f t="array" aca="1" ref="E15" ca="1">_FV(D15,"Price")</f>
        <v>47.494999999999997</v>
      </c>
      <c r="F15" s="103" cm="1">
        <f t="array" aca="1" ref="F15" ca="1">+_FV(D15,"Change (%)",TRUE)</f>
        <v>1.7458999999999999E-2</v>
      </c>
      <c r="G15" s="104" cm="1">
        <f t="array" ref="G15">+_xll.TR(C15,"cf_last")/N15-1</f>
        <v>6.2844542447629603E-2</v>
      </c>
      <c r="H15" s="104" cm="1">
        <f t="array" ref="H15">+_xll.TR(C15,"cf_last")/O15-1</f>
        <v>6.2844542447629603E-2</v>
      </c>
      <c r="I15" s="104" cm="1">
        <f t="array" ref="I15">+_xll.TR(C15,"cf_last")/P15-1</f>
        <v>0.1701869385773247</v>
      </c>
      <c r="J15" s="104" cm="1">
        <f t="array" ref="J15">+_xll.TR(C15,"cf_last")/Q15-1</f>
        <v>0.46326654523375854</v>
      </c>
      <c r="K15" s="104" cm="1">
        <f t="array" ref="K15">+_xll.TR(C15,"cf_last")/R15-1</f>
        <v>0.76298463789319682</v>
      </c>
      <c r="N15" s="105">
        <v>45.35</v>
      </c>
      <c r="O15" s="105">
        <v>45.35</v>
      </c>
      <c r="P15" s="105">
        <v>41.19</v>
      </c>
      <c r="Q15" s="106">
        <v>32.94</v>
      </c>
      <c r="R15" s="106">
        <v>27.34</v>
      </c>
    </row>
    <row r="16" spans="2:20">
      <c r="B16" s="107"/>
      <c r="C16" s="107"/>
      <c r="D16" s="107"/>
      <c r="E16" s="107"/>
      <c r="N16" s="18"/>
      <c r="O16" s="18"/>
      <c r="P16" s="18"/>
      <c r="Q16" s="18"/>
      <c r="R16" s="18"/>
    </row>
    <row r="17" spans="2:18">
      <c r="B17" s="99" t="s">
        <v>151</v>
      </c>
      <c r="C17" s="99" t="s">
        <v>123</v>
      </c>
      <c r="D17" s="99" t="s">
        <v>123</v>
      </c>
      <c r="E17" s="99" t="s">
        <v>124</v>
      </c>
      <c r="F17" s="99" t="s">
        <v>125</v>
      </c>
      <c r="G17" s="99" t="s">
        <v>126</v>
      </c>
      <c r="H17" s="99" t="s">
        <v>127</v>
      </c>
      <c r="I17" s="99">
        <v>2024</v>
      </c>
      <c r="J17" s="99">
        <v>2022</v>
      </c>
      <c r="K17" s="99">
        <v>2020</v>
      </c>
      <c r="N17" s="92" t="s">
        <v>126</v>
      </c>
      <c r="O17" s="92" t="s">
        <v>127</v>
      </c>
      <c r="P17" s="92" t="s">
        <v>128</v>
      </c>
      <c r="Q17" s="92" t="s">
        <v>129</v>
      </c>
      <c r="R17" s="92" t="s">
        <v>130</v>
      </c>
    </row>
    <row r="18" spans="2:18">
      <c r="B18" s="100" t="s">
        <v>152</v>
      </c>
      <c r="C18" s="101" t="s">
        <v>113</v>
      </c>
      <c r="D18" s="101" t="e" vm="19">
        <v>#VALUE!</v>
      </c>
      <c r="E18" s="102" cm="1">
        <f t="array" aca="1" ref="E18" ca="1">_FV(D18,"Price")</f>
        <v>689.56500000000005</v>
      </c>
      <c r="F18" s="103" cm="1">
        <f t="array" aca="1" ref="F18" ca="1">+_FV(D18,"Change (%)",TRUE)</f>
        <v>-2.175E-5</v>
      </c>
      <c r="G18" s="108" cm="1">
        <f t="array" ref="G18">+_xll.TR(C18,"cf_last")/N18-1</f>
        <v>1.8565227592679534E-2</v>
      </c>
      <c r="H18" s="108" cm="1">
        <f t="array" ref="H18">+_xll.TR(C18,"cf_last")/O18-1</f>
        <v>1.8565227592679534E-2</v>
      </c>
      <c r="I18" s="104" cm="1">
        <f t="array" ref="I18">+_xll.TR(C18,"cf_last")/P18-1</f>
        <v>0.49745601931700612</v>
      </c>
      <c r="J18" s="108" cm="1">
        <f t="array" ref="J18">+_xll.TR(C18,"cf_last")/Q18-1</f>
        <v>0.462396833417551</v>
      </c>
      <c r="K18" s="108" cm="1">
        <f t="array" ref="K18">+_xll.TR(C18,"cf_last")/R18-1</f>
        <v>1.1580190144783447</v>
      </c>
      <c r="N18" s="105">
        <v>681.92</v>
      </c>
      <c r="O18" s="105">
        <v>681.92</v>
      </c>
      <c r="P18" s="105">
        <v>463.84</v>
      </c>
      <c r="Q18" s="106">
        <v>474.96</v>
      </c>
      <c r="R18" s="106">
        <v>321.86</v>
      </c>
    </row>
    <row r="19" spans="2:18">
      <c r="B19" s="100" t="s">
        <v>153</v>
      </c>
      <c r="C19" s="101" t="s">
        <v>154</v>
      </c>
      <c r="D19" s="101" t="e" vm="33">
        <v>#VALUE!</v>
      </c>
      <c r="E19" s="102" cm="1">
        <f t="array" aca="1" ref="E19" ca="1">_FV(D19,"Price")</f>
        <v>620.38</v>
      </c>
      <c r="F19" s="103" cm="1">
        <f t="array" aca="1" ref="F19" ca="1">+_FV(D19,"Change (%)",TRUE)</f>
        <v>-5.8330000000000005E-3</v>
      </c>
      <c r="G19" s="108" cm="1">
        <f t="array" ref="G19">+_xll.TR(C19,"cf_last")/N19-1</f>
        <v>2.038058960459721E-2</v>
      </c>
      <c r="H19" s="108" cm="1">
        <f t="array" ref="H19">+_xll.TR(C19,"cf_last")/O19-1</f>
        <v>2.038058960459721E-2</v>
      </c>
      <c r="I19" s="104" cm="1">
        <f t="array" ref="I19">+_xll.TR(C19,"cf_last")/P19-1</f>
        <v>0.54753734106900387</v>
      </c>
      <c r="J19" s="108" cm="1">
        <f t="array" ref="J19">+_xll.TR(C19,"cf_last")/Q19-1</f>
        <v>0.57554354656277495</v>
      </c>
      <c r="K19" s="108" cm="1">
        <f t="array" ref="K19">+_xll.TR(C19,"cf_last")/R19-1</f>
        <v>1.9482620761017828</v>
      </c>
      <c r="N19" s="105">
        <v>614.30999999999995</v>
      </c>
      <c r="O19" s="105">
        <v>614.30999999999995</v>
      </c>
      <c r="P19" s="105">
        <v>405.05</v>
      </c>
      <c r="Q19" s="106">
        <v>397.85</v>
      </c>
      <c r="R19" s="106">
        <v>212.61</v>
      </c>
    </row>
    <row r="20" spans="2:18">
      <c r="B20" s="100" t="s">
        <v>155</v>
      </c>
      <c r="C20" s="101" t="s">
        <v>156</v>
      </c>
      <c r="D20" s="101" t="e" vm="34">
        <v>#VALUE!</v>
      </c>
      <c r="E20" s="102" cm="1">
        <f t="array" aca="1" ref="E20" ca="1">_FV(D20,"Price")</f>
        <v>492.75</v>
      </c>
      <c r="F20" s="103" cm="1">
        <f t="array" aca="1" ref="F20" ca="1">+_FV(D20,"Change (%)",TRUE)</f>
        <v>5.6940000000000003E-3</v>
      </c>
      <c r="G20" s="108" cm="1">
        <f t="array" ref="G20">+_xll.TR(C20,"cf_last")/N20-1</f>
        <v>3.0422206962565257E-2</v>
      </c>
      <c r="H20" s="108" cm="1">
        <f t="array" ref="H20">+_xll.TR(C20,"cf_last")/O20-1</f>
        <v>3.0422206962565257E-2</v>
      </c>
      <c r="I20" s="104" cm="1">
        <f t="array" ref="I20">+_xll.TR(C20,"cf_last")/P20-1</f>
        <v>0.35716830652013054</v>
      </c>
      <c r="J20" s="108" cm="1">
        <f t="array" ref="J20">+_xll.TR(C20,"cf_last")/Q20-1</f>
        <v>0.3629582736981174</v>
      </c>
      <c r="K20" s="108" cm="1">
        <f t="array" ref="K20">+_xll.TR(C20,"cf_last")/R20-1</f>
        <v>0.7403788704178822</v>
      </c>
      <c r="N20" s="105">
        <v>480.57</v>
      </c>
      <c r="O20" s="105">
        <v>480.57</v>
      </c>
      <c r="P20" s="105">
        <v>364.87</v>
      </c>
      <c r="Q20" s="106">
        <v>363.32</v>
      </c>
      <c r="R20" s="106">
        <v>284.52999999999997</v>
      </c>
    </row>
    <row r="21" spans="2:18">
      <c r="B21" s="100" t="s">
        <v>157</v>
      </c>
      <c r="C21" s="101" t="s">
        <v>158</v>
      </c>
      <c r="D21" s="101" t="e" vm="35">
        <v>#VALUE!</v>
      </c>
      <c r="E21" s="102" cm="1">
        <f t="array" aca="1" ref="E21" ca="1">_FV(D21,"Price")</f>
        <v>258.3</v>
      </c>
      <c r="F21" s="103" cm="1">
        <f t="array" aca="1" ref="F21" ca="1">+_FV(D21,"Change (%)",TRUE)</f>
        <v>1.1037999999999999E-2</v>
      </c>
      <c r="G21" s="108" cm="1">
        <f t="array" ref="G21">+_xll.TR(C21,"cf_last")/N21-1</f>
        <v>6.0082872928176823E-2</v>
      </c>
      <c r="H21" s="108" cm="1">
        <f t="array" ref="H21">+_xll.TR(C21,"cf_last")/O21-1</f>
        <v>6.0082872928176823E-2</v>
      </c>
      <c r="I21" s="104" cm="1">
        <f t="array" ref="I21">+_xll.TR(C21,"cf_last")/P21-1</f>
        <v>0.33022378549217524</v>
      </c>
      <c r="J21" s="108" cm="1">
        <f t="array" ref="J21">+_xll.TR(C21,"cf_last")/Q21-1</f>
        <v>0.17307260058440099</v>
      </c>
      <c r="K21" s="108" cm="1">
        <f t="array" ref="K21">+_xll.TR(C21,"cf_last")/R21-1</f>
        <v>0.57511921289310086</v>
      </c>
      <c r="N21" s="105">
        <v>246.16</v>
      </c>
      <c r="O21" s="105">
        <v>246.16</v>
      </c>
      <c r="P21" s="105">
        <v>196.17</v>
      </c>
      <c r="Q21" s="106">
        <v>222.45</v>
      </c>
      <c r="R21" s="106">
        <v>165.67</v>
      </c>
    </row>
    <row r="22" spans="2:18">
      <c r="B22" s="100" t="s">
        <v>159</v>
      </c>
      <c r="C22" s="101" t="s">
        <v>160</v>
      </c>
      <c r="D22" s="101" t="e" vm="36">
        <v>#VALUE!</v>
      </c>
      <c r="E22" s="102" cm="1">
        <f t="array" aca="1" ref="E22" ca="1">_FV(D22,"Price")</f>
        <v>165.13499999999999</v>
      </c>
      <c r="F22" s="103" cm="1">
        <f t="array" aca="1" ref="F22" ca="1">+_FV(D22,"Change (%)",TRUE)</f>
        <v>6.43E-3</v>
      </c>
      <c r="G22" s="108" cm="1">
        <f t="array" ref="G22">+_xll.TR(C22,"cf_last")/N22-1</f>
        <v>5.6689917564996861E-2</v>
      </c>
      <c r="H22" s="108" cm="1">
        <f t="array" ref="H22">+_xll.TR(C22,"cf_last")/O22-1</f>
        <v>5.6689917564996861E-2</v>
      </c>
      <c r="I22" s="104" cm="1">
        <f t="array" ref="I22">+_xll.TR(C22,"cf_last")/P22-1</f>
        <v>0.47026645491441665</v>
      </c>
      <c r="J22" s="108" cm="1">
        <f t="array" ref="J22">+_xll.TR(C22,"cf_last")/Q22-1</f>
        <v>0.24525481990733811</v>
      </c>
      <c r="K22" s="108" cm="1">
        <f t="array" ref="K22">+_xll.TR(C22,"cf_last")/R22-1</f>
        <v>0.7864493996569466</v>
      </c>
      <c r="N22" s="105">
        <v>157.69999999999999</v>
      </c>
      <c r="O22" s="105">
        <v>157.69999999999999</v>
      </c>
      <c r="P22" s="105">
        <v>113.34</v>
      </c>
      <c r="Q22" s="106">
        <v>133.82</v>
      </c>
      <c r="R22" s="106">
        <v>93.28</v>
      </c>
    </row>
    <row r="23" spans="2:18">
      <c r="B23" s="107"/>
      <c r="C23" s="109"/>
      <c r="D23" s="109"/>
      <c r="E23" s="110"/>
      <c r="F23" s="111"/>
      <c r="G23" s="112"/>
      <c r="H23" s="112"/>
      <c r="I23" s="112"/>
      <c r="J23" s="112"/>
      <c r="K23" s="112"/>
      <c r="N23" s="105"/>
      <c r="O23" s="105"/>
      <c r="P23" s="105"/>
      <c r="Q23" s="106"/>
      <c r="R23" s="106"/>
    </row>
    <row r="24" spans="2:18">
      <c r="B24" s="99" t="s">
        <v>161</v>
      </c>
      <c r="C24" s="99" t="s">
        <v>123</v>
      </c>
      <c r="D24" s="99" t="s">
        <v>123</v>
      </c>
      <c r="E24" s="99" t="s">
        <v>124</v>
      </c>
      <c r="F24" s="99" t="s">
        <v>125</v>
      </c>
      <c r="G24" s="99" t="s">
        <v>126</v>
      </c>
      <c r="H24" s="99" t="s">
        <v>127</v>
      </c>
      <c r="I24" s="99">
        <v>2024</v>
      </c>
      <c r="J24" s="99">
        <v>2022</v>
      </c>
      <c r="K24" s="99">
        <v>2020</v>
      </c>
      <c r="N24" s="92" t="s">
        <v>126</v>
      </c>
      <c r="O24" s="92" t="s">
        <v>127</v>
      </c>
      <c r="P24" s="92" t="s">
        <v>128</v>
      </c>
      <c r="Q24" s="92" t="s">
        <v>129</v>
      </c>
      <c r="R24" s="92" t="s">
        <v>130</v>
      </c>
    </row>
    <row r="25" spans="2:18">
      <c r="B25" s="100" t="s">
        <v>162</v>
      </c>
      <c r="C25" s="101" t="s">
        <v>163</v>
      </c>
      <c r="D25" s="101" t="e" vm="37">
        <v>#VALUE!</v>
      </c>
      <c r="E25" s="102" cm="1">
        <f t="array" aca="1" ref="E25" ca="1">_FV(D25,"Price")</f>
        <v>143.85499999999999</v>
      </c>
      <c r="F25" s="103" cm="1">
        <f t="array" aca="1" ref="F25" ca="1">+_FV(D25,"Change (%)",TRUE)</f>
        <v>3.1289999999999996E-4</v>
      </c>
      <c r="G25" s="108" cm="1">
        <f t="array" ref="G25">+_xll.TR(C25,"cf_last")/N25-1</f>
        <v>2.3959290409216072E-2</v>
      </c>
      <c r="H25" s="108" cm="1">
        <f t="array" ref="H25">+_xll.TR(C25,"cf_last")/O25-1</f>
        <v>2.3959290409216072E-2</v>
      </c>
      <c r="I25" s="104" cm="1">
        <f t="array" ref="I25">+_xll.TR(C25,"cf_last")/P25-1</f>
        <v>0.47220810893201914</v>
      </c>
      <c r="J25" s="108" cm="1">
        <f t="array" ref="J25">+_xll.TR(C25,"cf_last")/Q25-1</f>
        <v>0.45637314032971443</v>
      </c>
      <c r="K25" s="108" cm="1">
        <f t="array" ref="K25">+_xll.TR(C25,"cf_last")/R25-1</f>
        <v>1.0105467665834027</v>
      </c>
      <c r="N25" s="105">
        <v>141.49</v>
      </c>
      <c r="O25" s="105">
        <v>141.49</v>
      </c>
      <c r="P25" s="105">
        <v>98.41</v>
      </c>
      <c r="Q25" s="106">
        <v>99.48</v>
      </c>
      <c r="R25" s="106">
        <v>72.06</v>
      </c>
    </row>
    <row r="26" spans="2:18">
      <c r="B26" s="100" t="s">
        <v>164</v>
      </c>
      <c r="C26" s="101" t="s">
        <v>115</v>
      </c>
      <c r="D26" s="101" t="e" vm="21">
        <v>#VALUE!</v>
      </c>
      <c r="E26" s="102" cm="1">
        <f t="array" aca="1" ref="E26" ca="1">_FV(D26,"Price")</f>
        <v>56.88</v>
      </c>
      <c r="F26" s="103" cm="1">
        <f t="array" aca="1" ref="F26" ca="1">+_FV(D26,"Change (%)",TRUE)</f>
        <v>5.2769999999999998E-4</v>
      </c>
      <c r="G26" s="108" cm="1">
        <f t="array" ref="G26">+_xll.TR(C26,"cf_last")/N26-1</f>
        <v>4.4507402668616303E-2</v>
      </c>
      <c r="H26" s="108" cm="1">
        <f t="array" ref="H26">+_xll.TR(C26,"cf_last")/O26-1</f>
        <v>4.4507402668616303E-2</v>
      </c>
      <c r="I26" s="104" cm="1">
        <f t="array" ref="I26">+_xll.TR(C26,"cf_last")/P26-1</f>
        <v>0.49009126466753594</v>
      </c>
      <c r="J26" s="108" cm="1">
        <f t="array" ref="J26">+_xll.TR(C26,"cf_last")/Q26-1</f>
        <v>0.16980552712384855</v>
      </c>
      <c r="K26" s="108" cm="1">
        <f t="array" ref="K26">+_xll.TR(C26,"cf_last")/R26-1</f>
        <v>0.27356808558056622</v>
      </c>
      <c r="N26" s="105">
        <v>54.71</v>
      </c>
      <c r="O26" s="105">
        <v>54.71</v>
      </c>
      <c r="P26" s="105">
        <v>38.35</v>
      </c>
      <c r="Q26" s="106">
        <v>48.85</v>
      </c>
      <c r="R26" s="106">
        <v>44.87</v>
      </c>
    </row>
    <row r="27" spans="2:18">
      <c r="B27" s="100" t="s">
        <v>165</v>
      </c>
      <c r="C27" s="101" t="s">
        <v>118</v>
      </c>
      <c r="D27" s="101" t="e" vm="22">
        <v>#VALUE!</v>
      </c>
      <c r="E27" s="102" cm="1">
        <f t="array" aca="1" ref="E27" ca="1">_FV(D27,"Price")</f>
        <v>32.884999999999998</v>
      </c>
      <c r="F27" s="103" cm="1">
        <f t="array" aca="1" ref="F27" ca="1">+_FV(D27,"Change (%)",TRUE)</f>
        <v>5.6569999999999997E-3</v>
      </c>
      <c r="G27" s="108" cm="1">
        <f t="array" ref="G27">+_xll.TR(C27,"cf_last")/N27-1</f>
        <v>4.5011016682404925E-2</v>
      </c>
      <c r="H27" s="108" cm="1">
        <f t="array" ref="H27">+_xll.TR(C27,"cf_last")/O27-1</f>
        <v>4.5011016682404925E-2</v>
      </c>
      <c r="I27" s="104" cm="1">
        <f t="array" ref="I27">+_xll.TR(C27,"cf_last")/P27-1</f>
        <v>8.2138200782268633E-2</v>
      </c>
      <c r="J27" s="108" cm="1">
        <f t="array" ref="J27">+_xll.TR(C27,"cf_last")/Q27-1</f>
        <v>0.18275739223370158</v>
      </c>
      <c r="K27" s="108" cm="1">
        <f t="array" ref="K27">+_xll.TR(C27,"cf_last")/R27-1</f>
        <v>-0.30031612223393045</v>
      </c>
      <c r="N27" s="105">
        <v>31.77</v>
      </c>
      <c r="O27" s="105">
        <v>31.77</v>
      </c>
      <c r="P27" s="105">
        <v>30.68</v>
      </c>
      <c r="Q27" s="106">
        <v>28.07</v>
      </c>
      <c r="R27" s="106">
        <v>47.45</v>
      </c>
    </row>
    <row r="28" spans="2:18">
      <c r="B28" s="100" t="s">
        <v>166</v>
      </c>
      <c r="C28" s="101" t="s">
        <v>167</v>
      </c>
      <c r="D28" s="101" t="e" vm="38">
        <v>#VALUE!</v>
      </c>
      <c r="E28" s="102" cm="1">
        <f t="array" aca="1" ref="E28" ca="1">_FV(D28,"Price")</f>
        <v>94.01</v>
      </c>
      <c r="F28" s="103" cm="1">
        <f t="array" aca="1" ref="F28" ca="1">+_FV(D28,"Change (%)",TRUE)</f>
        <v>2.4632000000000001E-2</v>
      </c>
      <c r="G28" s="108" cm="1">
        <f t="array" ref="G28">+_xll.TR(C28,"cf_last")/N28-1</f>
        <v>2.4122087298982686E-2</v>
      </c>
      <c r="H28" s="108" cm="1">
        <f t="array" ref="H28">+_xll.TR(C28,"cf_last")/O28-1</f>
        <v>2.4122087298982686E-2</v>
      </c>
      <c r="I28" s="104" cm="1">
        <f t="array" ref="I28">+_xll.TR(C28,"cf_last")/P28-1</f>
        <v>0.86669990029910271</v>
      </c>
      <c r="J28" s="108" cm="1">
        <f t="array" ref="J28">+_xll.TR(C28,"cf_last")/Q28-1</f>
        <v>1.9956799999999997</v>
      </c>
      <c r="K28" s="108" cm="1">
        <f t="array" ref="K28">+_xll.TR(C28,"cf_last")/R28-1</f>
        <v>2.0814680710994073</v>
      </c>
      <c r="N28" s="105">
        <v>91.41</v>
      </c>
      <c r="O28" s="105">
        <v>91.41</v>
      </c>
      <c r="P28" s="105">
        <v>50.15</v>
      </c>
      <c r="Q28" s="106">
        <v>31.25</v>
      </c>
      <c r="R28" s="106">
        <v>30.38</v>
      </c>
    </row>
    <row r="29" spans="2:18">
      <c r="B29" s="100" t="s">
        <v>168</v>
      </c>
      <c r="C29" s="101" t="s">
        <v>169</v>
      </c>
      <c r="D29" s="101" t="e" vm="39">
        <v>#VALUE!</v>
      </c>
      <c r="E29" s="102" cm="1">
        <f t="array" aca="1" ref="E29" ca="1">_FV(D29,"Price")/M29</f>
        <v>2015.6027475093949</v>
      </c>
      <c r="F29" s="103" cm="1">
        <f t="array" aca="1" ref="F29" ca="1">+_FV(D29,"Change (%)",TRUE)</f>
        <v>2.0213000000000002E-2</v>
      </c>
      <c r="G29" s="108">
        <f ca="1">+$E$29/N29-1</f>
        <v>-3.7167708423388124E-2</v>
      </c>
      <c r="H29" s="108">
        <f t="shared" ref="H29:K29" ca="1" si="0">+$E$29/O29-1</f>
        <v>-3.7167708423388124E-2</v>
      </c>
      <c r="I29" s="108">
        <f t="shared" ca="1" si="0"/>
        <v>0.75263708002277752</v>
      </c>
      <c r="J29" s="108">
        <f t="shared" ca="1" si="0"/>
        <v>1.5844705631683893</v>
      </c>
      <c r="K29" s="108">
        <f t="shared" ca="1" si="0"/>
        <v>1.9666520672182082</v>
      </c>
      <c r="L29" s="4" t="s">
        <v>170</v>
      </c>
      <c r="M29" s="113">
        <f>+[1]SECTORS!$L$26</f>
        <v>1525.5385684503131</v>
      </c>
      <c r="N29" s="105">
        <v>2093.41</v>
      </c>
      <c r="O29" s="105">
        <v>2093.41</v>
      </c>
      <c r="P29" s="105">
        <v>1150.04</v>
      </c>
      <c r="Q29" s="106">
        <v>779.89</v>
      </c>
      <c r="R29" s="106">
        <v>679.42</v>
      </c>
    </row>
    <row r="30" spans="2:18">
      <c r="B30" s="100" t="s">
        <v>171</v>
      </c>
      <c r="C30" s="101" t="s">
        <v>172</v>
      </c>
      <c r="D30" s="101" t="e" vm="40">
        <v>#VALUE!</v>
      </c>
      <c r="E30" s="102" cm="1">
        <f t="array" aca="1" ref="E30" ca="1">_FV(D30,"Price")</f>
        <v>72.31</v>
      </c>
      <c r="F30" s="103" cm="1">
        <f t="array" aca="1" ref="F30" ca="1">+_FV(D30,"Change (%)",TRUE)</f>
        <v>9.6900000000000003E-4</v>
      </c>
      <c r="G30" s="108" cm="1">
        <f t="array" ref="G30">+_xll.TR(C30,"cf_last")/N30-1</f>
        <v>2.5007044237813414E-2</v>
      </c>
      <c r="H30" s="108" cm="1">
        <f t="array" ref="H30">+_xll.TR(C30,"cf_last")/O30-1</f>
        <v>2.5007044237813414E-2</v>
      </c>
      <c r="I30" s="104" cm="1">
        <f t="array" ref="I30">+_xll.TR(C30,"cf_last")/P30-1</f>
        <v>0.41025392517929804</v>
      </c>
      <c r="J30" s="108" cm="1">
        <f t="array" ref="J30">+_xll.TR(C30,"cf_last")/Q30-1</f>
        <v>0.25094566712517197</v>
      </c>
      <c r="K30" s="108" cm="1">
        <f t="array" ref="K30">+_xll.TR(C30,"cf_last")/R30-1</f>
        <v>0.41877925117004677</v>
      </c>
      <c r="N30" s="105">
        <v>70.98</v>
      </c>
      <c r="O30" s="105">
        <v>70.98</v>
      </c>
      <c r="P30" s="105">
        <v>51.59</v>
      </c>
      <c r="Q30" s="106">
        <v>58.16</v>
      </c>
      <c r="R30" s="106">
        <v>51.28</v>
      </c>
    </row>
    <row r="31" spans="2:18">
      <c r="B31" s="100" t="s">
        <v>173</v>
      </c>
      <c r="C31" s="101" t="s">
        <v>174</v>
      </c>
      <c r="D31" s="101" t="e" vm="41">
        <v>#VALUE!</v>
      </c>
      <c r="E31" s="102" cm="1">
        <f t="array" aca="1" ref="E31" ca="1">_FV(D31,"Price")</f>
        <v>39.384999999999998</v>
      </c>
      <c r="F31" s="103" cm="1">
        <f t="array" aca="1" ref="F31" ca="1">+_FV(D31,"Change (%)",TRUE)</f>
        <v>2.673E-3</v>
      </c>
      <c r="G31" s="108" cm="1">
        <f t="array" ref="G31">+_xll.TR(C31,"cf_last")/N31-1</f>
        <v>2.833638025594154E-2</v>
      </c>
      <c r="H31" s="108" cm="1">
        <f t="array" ref="H31">+_xll.TR(C31,"cf_last")/O31-1</f>
        <v>2.833638025594154E-2</v>
      </c>
      <c r="I31" s="104" cm="1">
        <f t="array" ref="I31">+_xll.TR(C31,"cf_last")/P31-1</f>
        <v>0.71046915725456139</v>
      </c>
      <c r="J31" s="108" cm="1">
        <f t="array" ref="J31">+_xll.TR(C31,"cf_last")/Q31-1</f>
        <v>7.64078731547293E-2</v>
      </c>
      <c r="K31" s="108" cm="1">
        <f t="array" ref="K31">+_xll.TR(C31,"cf_last")/R31-1</f>
        <v>-0.15194917079474479</v>
      </c>
      <c r="N31" s="105">
        <v>38.29</v>
      </c>
      <c r="O31" s="105">
        <v>38.29</v>
      </c>
      <c r="P31" s="105">
        <v>23.02</v>
      </c>
      <c r="Q31" s="106">
        <v>36.58</v>
      </c>
      <c r="R31" s="106">
        <v>46.43</v>
      </c>
    </row>
    <row r="32" spans="2:18">
      <c r="B32" s="100" t="s">
        <v>175</v>
      </c>
      <c r="C32" s="101" t="s">
        <v>114</v>
      </c>
      <c r="D32" s="101" t="e" vm="20">
        <v>#VALUE!</v>
      </c>
      <c r="E32" s="102" cm="1">
        <f t="array" aca="1" ref="E32" ca="1">_FV(D32,"Price")</f>
        <v>63.954999999999998</v>
      </c>
      <c r="F32" s="103" cm="1">
        <f t="array" aca="1" ref="F32" ca="1">+_FV(D32,"Change (%)",TRUE)</f>
        <v>1.1740000000000001E-3</v>
      </c>
      <c r="G32" s="108" cm="1">
        <f t="array" ref="G32">+_xll.TR(C32,"cf_last")/N32-1</f>
        <v>3.3564911157355493E-2</v>
      </c>
      <c r="H32" s="108" cm="1">
        <f t="array" ref="H32">+_xll.TR(C32,"cf_last")/O32-1</f>
        <v>3.3564911157355493E-2</v>
      </c>
      <c r="I32" s="104" cm="1">
        <f t="array" ref="I32">+_xll.TR(C32,"cf_last")/P32-1</f>
        <v>0.44090158446775263</v>
      </c>
      <c r="J32" s="108" cm="1">
        <f t="array" ref="J32">+_xll.TR(C32,"cf_last")/Q32-1</f>
        <v>0.26452800626713668</v>
      </c>
      <c r="K32" s="108" cm="1">
        <f t="array" ref="K32">+_xll.TR(C32,"cf_last")/R32-1</f>
        <v>0.46542896050839766</v>
      </c>
      <c r="N32" s="105">
        <v>62.47</v>
      </c>
      <c r="O32" s="105">
        <v>62.47</v>
      </c>
      <c r="P32" s="105">
        <v>44.81</v>
      </c>
      <c r="Q32" s="106">
        <v>51.06</v>
      </c>
      <c r="R32" s="106">
        <v>44.06</v>
      </c>
    </row>
    <row r="33" spans="2:18">
      <c r="B33" s="100" t="s">
        <v>176</v>
      </c>
      <c r="C33" s="101" t="s">
        <v>177</v>
      </c>
      <c r="D33" s="101" t="e" vm="42">
        <v>#VALUE!</v>
      </c>
      <c r="E33" s="102" cm="1">
        <f t="array" aca="1" ref="E33" ca="1">_FV(D33,"Price")</f>
        <v>82.885999999999996</v>
      </c>
      <c r="F33" s="103" cm="1">
        <f t="array" aca="1" ref="F33" ca="1">+_FV(D33,"Change (%)",TRUE)</f>
        <v>-4.0999999999999999E-4</v>
      </c>
      <c r="G33" s="108" cm="1">
        <f t="array" ref="G33">+_xll.TR(C33,"cf_last")/N33-1</f>
        <v>4.8365122615803724E-2</v>
      </c>
      <c r="H33" s="108" cm="1">
        <f t="array" ref="H33">+_xll.TR(C33,"cf_last")/O33-1</f>
        <v>4.8365122615803724E-2</v>
      </c>
      <c r="I33" s="104" cm="1">
        <f t="array" ref="I33">+_xll.TR(C33,"cf_last")/P33-1</f>
        <v>0.41216216216216206</v>
      </c>
      <c r="J33" s="108" cm="1">
        <f t="array" ref="J33">+_xll.TR(C33,"cf_last")/Q33-1</f>
        <v>0.34720674836861365</v>
      </c>
      <c r="K33" s="108" cm="1">
        <f t="array" ref="K33">+_xll.TR(C33,"cf_last")/R33-1</f>
        <v>0.57772600186393297</v>
      </c>
      <c r="N33" s="105">
        <v>80.739999999999995</v>
      </c>
      <c r="O33" s="105">
        <v>80.739999999999995</v>
      </c>
      <c r="P33" s="105">
        <v>59.94</v>
      </c>
      <c r="Q33" s="106">
        <v>62.83</v>
      </c>
      <c r="R33" s="106">
        <v>53.65</v>
      </c>
    </row>
    <row r="34" spans="2:18">
      <c r="B34" s="114"/>
      <c r="C34" s="114"/>
      <c r="D34" s="114"/>
      <c r="E34" s="114"/>
      <c r="N34" s="18"/>
      <c r="O34" s="18"/>
      <c r="P34" s="18"/>
      <c r="Q34" s="18"/>
      <c r="R34" s="18"/>
    </row>
    <row r="35" spans="2:18">
      <c r="B35" s="99" t="s">
        <v>178</v>
      </c>
      <c r="C35" s="99" t="s">
        <v>123</v>
      </c>
      <c r="D35" s="99" t="s">
        <v>123</v>
      </c>
      <c r="E35" s="99" t="s">
        <v>124</v>
      </c>
      <c r="F35" s="99" t="s">
        <v>125</v>
      </c>
      <c r="G35" s="99" t="s">
        <v>126</v>
      </c>
      <c r="H35" s="99" t="s">
        <v>127</v>
      </c>
      <c r="I35" s="99">
        <v>2024</v>
      </c>
      <c r="J35" s="99">
        <v>2022</v>
      </c>
      <c r="K35" s="99">
        <v>2020</v>
      </c>
      <c r="N35" s="21" t="s">
        <v>126</v>
      </c>
      <c r="O35" s="21" t="s">
        <v>127</v>
      </c>
      <c r="P35" s="21" t="s">
        <v>128</v>
      </c>
      <c r="Q35" s="21" t="s">
        <v>129</v>
      </c>
      <c r="R35" s="21" t="s">
        <v>130</v>
      </c>
    </row>
    <row r="36" spans="2:18">
      <c r="B36" s="100" t="s">
        <v>179</v>
      </c>
      <c r="C36" s="101" t="s">
        <v>68</v>
      </c>
      <c r="D36" s="101" t="e" vm="3">
        <v>#VALUE!</v>
      </c>
      <c r="E36" s="102" cm="1">
        <f t="array" aca="1" ref="E36" ca="1">_FV(D36,"Price")</f>
        <v>411.39</v>
      </c>
      <c r="F36" s="103" cm="1">
        <f t="array" aca="1" ref="F36" ca="1">+_FV(D36,"Change (%)",TRUE)</f>
        <v>5.2780000000000006E-3</v>
      </c>
      <c r="G36" s="108" cm="1">
        <f t="array" ref="G36">+_xll.TR(C36,"cf_last")/N36-1</f>
        <v>4.367010673462679E-2</v>
      </c>
      <c r="H36" s="108" cm="1">
        <f t="array" ref="H36">+_xll.TR(C36,"cf_last")/O36-1</f>
        <v>4.367010673462679E-2</v>
      </c>
      <c r="I36" s="104" cm="1">
        <f t="array" ref="I36">+_xll.TR(C36,"cf_last")/P36-1</f>
        <v>1.1636077836480618</v>
      </c>
      <c r="J36" s="108" cm="1">
        <f t="array" ref="J36">+_xll.TR(C36,"cf_last")/Q36-1</f>
        <v>1.419378217126813</v>
      </c>
      <c r="K36" s="108" cm="1">
        <f t="array" ref="K36">+_xll.TR(C36,"cf_last")/R36-1</f>
        <v>1.8944499650104967</v>
      </c>
      <c r="N36" s="105">
        <v>396.31</v>
      </c>
      <c r="O36" s="105">
        <v>396.31</v>
      </c>
      <c r="P36" s="105">
        <v>191.17</v>
      </c>
      <c r="Q36" s="106">
        <v>170.96</v>
      </c>
      <c r="R36" s="106">
        <v>142.9</v>
      </c>
    </row>
    <row r="37" spans="2:18">
      <c r="B37" s="100" t="s">
        <v>180</v>
      </c>
      <c r="C37" s="101" t="s">
        <v>181</v>
      </c>
      <c r="D37" s="101" t="e" vm="43">
        <v>#VALUE!</v>
      </c>
      <c r="E37" s="102" cm="1">
        <f t="array" aca="1" ref="E37" ca="1">_FV(D37,"Price")</f>
        <v>69.64</v>
      </c>
      <c r="F37" s="103" cm="1">
        <f t="array" aca="1" ref="F37" ca="1">+_FV(D37,"Change (%)",TRUE)</f>
        <v>-1.8602E-2</v>
      </c>
      <c r="G37" s="108" cm="1">
        <f t="array" ref="G37">+_xll.TR(C37,"cf_last")/N37-1</f>
        <v>0.1248696057125116</v>
      </c>
      <c r="H37" s="108" cm="1">
        <f t="array" ref="H37">+_xll.TR(C37,"cf_last")/O37-1</f>
        <v>0.1248696057125116</v>
      </c>
      <c r="I37" s="104" cm="1">
        <f t="array" ref="I37">+_xll.TR(C37,"cf_last")/P37-1</f>
        <v>2.3270936639118456</v>
      </c>
      <c r="J37" s="108" cm="1">
        <f t="array" ref="J37">+_xll.TR(C37,"cf_last")/Q37-1</f>
        <v>2.3688563458856344</v>
      </c>
      <c r="K37" s="108" cm="1">
        <f t="array" ref="K37">+_xll.TR(C37,"cf_last")/R37-1</f>
        <v>3.3287992831541224</v>
      </c>
      <c r="N37" s="105">
        <v>64.42</v>
      </c>
      <c r="O37" s="105">
        <v>64.42</v>
      </c>
      <c r="P37" s="105">
        <v>21.78</v>
      </c>
      <c r="Q37" s="106">
        <v>21.51</v>
      </c>
      <c r="R37" s="106">
        <v>16.739999999999998</v>
      </c>
    </row>
    <row r="38" spans="2:18">
      <c r="B38" s="100" t="s">
        <v>182</v>
      </c>
      <c r="C38" s="101" t="s">
        <v>69</v>
      </c>
      <c r="D38" s="101" t="e" vm="13">
        <v>#VALUE!</v>
      </c>
      <c r="E38" s="102" cm="1">
        <f t="array" aca="1" ref="E38" ca="1">_FV(D38,"Price")</f>
        <v>49.505000000000003</v>
      </c>
      <c r="F38" s="103" cm="1">
        <f t="array" aca="1" ref="F38" ca="1">+_FV(D38,"Change (%)",TRUE)</f>
        <v>-6.522E-3</v>
      </c>
      <c r="G38" s="108" cm="1">
        <f t="array" ref="G38">+_xll.TR(C38,"cf_last")/N38-1</f>
        <v>0.17809501521179505</v>
      </c>
      <c r="H38" s="108" cm="1">
        <f t="array" ref="H38">+_xll.TR(C38,"cf_last")/O38-1</f>
        <v>0.17809501521179505</v>
      </c>
      <c r="I38" s="104" cm="1">
        <f t="array" ref="I38">+_xll.TR(C38,"cf_last")/P38-1</f>
        <v>0.95799299883313882</v>
      </c>
      <c r="J38" s="108" cm="1">
        <f t="array" ref="J38">+_xll.TR(C38,"cf_last")/Q38-1</f>
        <v>1.2020997375328086</v>
      </c>
      <c r="K38" s="108" cm="1">
        <f t="array" ref="K38">+_xll.TR(C38,"cf_last")/R38-1</f>
        <v>3.5433212996389898</v>
      </c>
      <c r="N38" s="105">
        <v>42.73</v>
      </c>
      <c r="O38" s="105">
        <v>42.73</v>
      </c>
      <c r="P38" s="105">
        <v>25.71</v>
      </c>
      <c r="Q38" s="106">
        <v>22.86</v>
      </c>
      <c r="R38" s="106">
        <v>11.08</v>
      </c>
    </row>
    <row r="39" spans="2:18">
      <c r="B39" s="100" t="s">
        <v>183</v>
      </c>
      <c r="C39" s="101" t="s">
        <v>184</v>
      </c>
      <c r="D39" s="101" t="e" vm="44">
        <v>#VALUE!</v>
      </c>
      <c r="E39" s="102" cm="1">
        <f t="array" aca="1" ref="E39" ca="1">_FV(D39,"Price")</f>
        <v>75.496200000000002</v>
      </c>
      <c r="F39" s="103" cm="1">
        <f t="array" aca="1" ref="F39" ca="1">+_FV(D39,"Change (%)",TRUE)</f>
        <v>-5.3200000000000001E-3</v>
      </c>
      <c r="G39" s="108" cm="1">
        <f t="array" ref="G39">+_xll.TR(C39,"cf_last")/N39-1</f>
        <v>8.7129126619306163E-2</v>
      </c>
      <c r="H39" s="108" cm="1">
        <f t="array" ref="H39">+_xll.TR(C39,"cf_last")/O39-1</f>
        <v>8.7129126619306163E-2</v>
      </c>
      <c r="I39" s="104" cm="1">
        <f t="array" ref="I39">+_xll.TR(C39,"cf_last")/P39-1</f>
        <v>1.1788107202680069</v>
      </c>
      <c r="J39" s="108" cm="1">
        <f t="array" ref="J39">+_xll.TR(C39,"cf_last")/Q39-1</f>
        <v>1.1144676239501492</v>
      </c>
      <c r="K39" s="108" cm="1">
        <f t="array" ref="K39">+_xll.TR(C39,"cf_last")/R39-1</f>
        <v>2.8407972440944884</v>
      </c>
      <c r="N39" s="105">
        <v>71.790000000000006</v>
      </c>
      <c r="O39" s="105">
        <v>71.790000000000006</v>
      </c>
      <c r="P39" s="105">
        <v>35.82</v>
      </c>
      <c r="Q39" s="106">
        <v>36.909999999999997</v>
      </c>
      <c r="R39" s="106">
        <v>20.32</v>
      </c>
    </row>
    <row r="40" spans="2:18">
      <c r="B40" s="100" t="s">
        <v>185</v>
      </c>
      <c r="C40" s="101" t="s">
        <v>186</v>
      </c>
      <c r="D40" s="101" t="e" vm="45">
        <v>#VALUE!</v>
      </c>
      <c r="E40" s="102" cm="1">
        <f t="array" aca="1" ref="E40" ca="1">_FV(D40,"Price")</f>
        <v>67.954999999999998</v>
      </c>
      <c r="F40" s="103" cm="1">
        <f t="array" aca="1" ref="F40" ca="1">+_FV(D40,"Change (%)",TRUE)</f>
        <v>-1.5002E-2</v>
      </c>
      <c r="G40" s="108" cm="1">
        <f t="array" ref="G40">+_xll.TR(C40,"cf_last")/N40-1</f>
        <v>5.1649707061362848E-2</v>
      </c>
      <c r="H40" s="108" cm="1">
        <f t="array" ref="H40">+_xll.TR(C40,"cf_last")/O40-1</f>
        <v>5.1649707061362848E-2</v>
      </c>
      <c r="I40" s="104" cm="1">
        <f t="array" ref="I40">+_xll.TR(C40,"cf_last")/P40-1</f>
        <v>0.36011964107676953</v>
      </c>
      <c r="J40" s="108" cm="1">
        <f t="array" ref="J40">+_xll.TR(C40,"cf_last")/Q40-1</f>
        <v>-0.19220748460445292</v>
      </c>
      <c r="K40" s="108" cm="1">
        <f t="array" ref="K40">+_xll.TR(C40,"cf_last")/R40-1</f>
        <v>1.4948792977322602</v>
      </c>
      <c r="N40" s="105">
        <v>64.86</v>
      </c>
      <c r="O40" s="105">
        <v>64.86</v>
      </c>
      <c r="P40" s="105">
        <v>50.15</v>
      </c>
      <c r="Q40" s="106">
        <v>84.44</v>
      </c>
      <c r="R40" s="106">
        <v>27.34</v>
      </c>
    </row>
    <row r="41" spans="2:18">
      <c r="B41" s="100" t="s">
        <v>187</v>
      </c>
      <c r="C41" s="101" t="s">
        <v>188</v>
      </c>
      <c r="D41" s="101" t="e" vm="46">
        <v>#VALUE!</v>
      </c>
      <c r="E41" s="102" cm="1">
        <f t="array" aca="1" ref="E41" ca="1">_FV(D41,"Price")</f>
        <v>29.261900000000001</v>
      </c>
      <c r="F41" s="103" cm="1">
        <f t="array" aca="1" ref="F41" ca="1">+_FV(D41,"Change (%)",TRUE)</f>
        <v>4.3948999999999995E-2</v>
      </c>
      <c r="G41" s="108" cm="1">
        <f t="array" ref="G41">+_xll.TR(C41,"cf_last")/N41-1</f>
        <v>4.413841807909602E-2</v>
      </c>
      <c r="H41" s="108" cm="1">
        <f t="array" ref="H41">+_xll.TR(C41,"cf_last")/O41-1</f>
        <v>4.413841807909602E-2</v>
      </c>
      <c r="I41" s="104" cm="1">
        <f t="array" ref="I41">+_xll.TR(C41,"cf_last")/P41-1</f>
        <v>8.2753570120834841E-2</v>
      </c>
      <c r="J41" s="108" cm="1">
        <f t="array" ref="J41">+_xll.TR(C41,"cf_last")/Q41-1</f>
        <v>0.41415590626494492</v>
      </c>
      <c r="K41" s="108" cm="1">
        <f t="array" ref="K41">+_xll.TR(C41,"cf_last")/R41-1</f>
        <v>0.4027514231499052</v>
      </c>
      <c r="N41" s="105">
        <v>28.32</v>
      </c>
      <c r="O41" s="105">
        <v>28.32</v>
      </c>
      <c r="P41" s="105">
        <v>27.31</v>
      </c>
      <c r="Q41" s="106">
        <v>20.91</v>
      </c>
      <c r="R41" s="106">
        <v>21.08</v>
      </c>
    </row>
    <row r="42" spans="2:18">
      <c r="B42" s="100" t="s">
        <v>189</v>
      </c>
      <c r="C42" s="101" t="s">
        <v>190</v>
      </c>
      <c r="D42" s="101" t="e" vm="47">
        <v>#VALUE!</v>
      </c>
      <c r="E42" s="102" cm="1">
        <f t="array" aca="1" ref="E42" ca="1">_FV(D42,"Price")</f>
        <v>11.265000000000001</v>
      </c>
      <c r="F42" s="103" cm="1">
        <f t="array" aca="1" ref="F42" ca="1">+_FV(D42,"Change (%)",TRUE)</f>
        <v>-4.3718000000000007E-2</v>
      </c>
      <c r="G42" s="108" cm="1">
        <f t="array" ref="G42">+_xll.TR(C42,"cf_last")/N42-1</f>
        <v>-0.13539967373572592</v>
      </c>
      <c r="H42" s="108" cm="1">
        <f t="array" ref="H42">+_xll.TR(C42,"cf_last")/O42-1</f>
        <v>-0.13539967373572592</v>
      </c>
      <c r="I42" s="104" cm="1">
        <f t="array" ref="I42">+_xll.TR(C42,"cf_last")/P42-1</f>
        <v>-0.47731755424063116</v>
      </c>
      <c r="J42" s="108" cm="1">
        <f t="array" ref="J42">+_xll.TR(C42,"cf_last")/Q42-1</f>
        <v>-0.15132105684547648</v>
      </c>
      <c r="K42" s="108" cm="1">
        <f t="array" ref="K42">+_xll.TR(C42,"cf_last")/R42-1</f>
        <v>-0.37278106508875741</v>
      </c>
      <c r="N42" s="105">
        <v>12.26</v>
      </c>
      <c r="O42" s="105">
        <v>12.26</v>
      </c>
      <c r="P42" s="105">
        <v>20.28</v>
      </c>
      <c r="Q42" s="106">
        <v>12.49</v>
      </c>
      <c r="R42" s="106">
        <v>16.899999999999999</v>
      </c>
    </row>
    <row r="43" spans="2:18">
      <c r="B43" s="100" t="s">
        <v>191</v>
      </c>
      <c r="C43" s="101" t="s">
        <v>192</v>
      </c>
      <c r="D43" s="101" t="e" vm="48">
        <v>#VALUE!</v>
      </c>
      <c r="E43" s="102" cm="1">
        <f t="array" aca="1" ref="E43" ca="1">_FV(D43,"Price")</f>
        <v>22.15</v>
      </c>
      <c r="F43" s="103" cm="1">
        <f t="array" aca="1" ref="F43" ca="1">+_FV(D43,"Change (%)",TRUE)</f>
        <v>-1.353E-3</v>
      </c>
      <c r="G43" s="108" cm="1">
        <f t="array" ref="G43">+_xll.TR(C43,"cf_last")/N43-1</f>
        <v>1.3019213174748412E-2</v>
      </c>
      <c r="H43" s="108" cm="1">
        <f t="array" ref="H43">+_xll.TR(C43,"cf_last")/O43-1</f>
        <v>1.3019213174748412E-2</v>
      </c>
      <c r="I43" s="104" cm="1">
        <f t="array" ref="I43">+_xll.TR(C43,"cf_last")/P43-1</f>
        <v>-0.18013328396890038</v>
      </c>
      <c r="J43" s="108" cm="1">
        <f t="array" ref="J43">+_xll.TR(C43,"cf_last")/Q43-1</f>
        <v>-2.6610989010989017E-2</v>
      </c>
      <c r="K43" s="108" cm="1">
        <f t="array" ref="K43">+_xll.TR(C43,"cf_last")/R43-1</f>
        <v>0.4006704617330803</v>
      </c>
      <c r="N43" s="105">
        <v>21.86</v>
      </c>
      <c r="O43" s="105">
        <v>21.86</v>
      </c>
      <c r="P43" s="105">
        <v>27.01</v>
      </c>
      <c r="Q43" s="106">
        <v>22.75</v>
      </c>
      <c r="R43" s="106">
        <v>15.81</v>
      </c>
    </row>
    <row r="44" spans="2:18">
      <c r="B44" s="100" t="s">
        <v>193</v>
      </c>
      <c r="C44" s="101" t="s">
        <v>194</v>
      </c>
      <c r="D44" s="101" t="e" vm="49">
        <v>#VALUE!</v>
      </c>
      <c r="E44" s="102" cm="1">
        <f t="array" aca="1" ref="E44" ca="1">_FV(D44,"Price")</f>
        <v>20.364999999999998</v>
      </c>
      <c r="F44" s="103" cm="1">
        <f t="array" aca="1" ref="F44" ca="1">+_FV(D44,"Change (%)",TRUE)</f>
        <v>2.7079999999999999E-3</v>
      </c>
      <c r="G44" s="108" cm="1">
        <f t="array" ref="G44">+_xll.TR(C44,"cf_last")/N44-1</f>
        <v>1.9529293940911296E-2</v>
      </c>
      <c r="H44" s="108" cm="1">
        <f t="array" ref="H44">+_xll.TR(C44,"cf_last")/O44-1</f>
        <v>1.9529293940911296E-2</v>
      </c>
      <c r="I44" s="104" cm="1">
        <f t="array" ref="I44">+_xll.TR(C44,"cf_last")/P44-1</f>
        <v>-0.31792294807370192</v>
      </c>
      <c r="J44" s="108" cm="1">
        <f t="array" ref="J44">+_xll.TR(C44,"cf_last")/Q44-1</f>
        <v>-0.44898511502029781</v>
      </c>
      <c r="K44" s="108" cm="1">
        <f t="array" ref="K44">+_xll.TR(C44,"cf_last")/R44-1</f>
        <v>-0.33680781758957656</v>
      </c>
      <c r="N44" s="105">
        <v>19.97</v>
      </c>
      <c r="O44" s="105">
        <v>19.97</v>
      </c>
      <c r="P44" s="105">
        <v>29.85</v>
      </c>
      <c r="Q44" s="106">
        <v>36.950000000000003</v>
      </c>
      <c r="R44" s="106">
        <v>30.7</v>
      </c>
    </row>
    <row r="45" spans="2:18">
      <c r="B45" s="100" t="s">
        <v>195</v>
      </c>
      <c r="C45" s="101" t="s">
        <v>196</v>
      </c>
      <c r="D45" s="101" t="e" vm="50">
        <v>#VALUE!</v>
      </c>
      <c r="E45" s="102" cm="1">
        <f t="array" aca="1" ref="E45" ca="1">_FV(D45,"Price")</f>
        <v>17.940000000000001</v>
      </c>
      <c r="F45" s="103" cm="1">
        <f t="array" aca="1" ref="F45" ca="1">+_FV(D45,"Change (%)",TRUE)</f>
        <v>1.6750000000000001E-3</v>
      </c>
      <c r="G45" s="108" cm="1">
        <f t="array" ref="G45">+_xll.TR(C45,"cf_last")/N45-1</f>
        <v>1.2408347433727984E-2</v>
      </c>
      <c r="H45" s="108" cm="1">
        <f t="array" ref="H45">+_xll.TR(C45,"cf_last")/O45-1</f>
        <v>1.2408347433727984E-2</v>
      </c>
      <c r="I45" s="104" cm="1">
        <f t="array" ref="I45">+_xll.TR(C45,"cf_last")/P45-1</f>
        <v>-0.16782568382012053</v>
      </c>
      <c r="J45" s="108" cm="1">
        <f t="array" ref="J45">+_xll.TR(C45,"cf_last")/Q45-1</f>
        <v>-0.16666666666666663</v>
      </c>
      <c r="K45" s="108" cm="1">
        <f t="array" ref="K45">+_xll.TR(C45,"cf_last")/R45-1</f>
        <v>0.21283783783783772</v>
      </c>
      <c r="N45" s="105">
        <v>17.73</v>
      </c>
      <c r="O45" s="105">
        <v>17.73</v>
      </c>
      <c r="P45" s="105">
        <v>21.57</v>
      </c>
      <c r="Q45" s="106">
        <v>21.54</v>
      </c>
      <c r="R45" s="106">
        <v>14.8</v>
      </c>
    </row>
    <row r="46" spans="2:18">
      <c r="B46" s="100" t="s">
        <v>197</v>
      </c>
      <c r="C46" s="101" t="s">
        <v>198</v>
      </c>
      <c r="D46" s="101" t="e" vm="51">
        <v>#VALUE!</v>
      </c>
      <c r="E46" s="102" cm="1">
        <f t="array" aca="1" ref="E46" ca="1">_FV(D46,"Price")</f>
        <v>82.68</v>
      </c>
      <c r="F46" s="103" cm="1">
        <f t="array" aca="1" ref="F46" ca="1">+_FV(D46,"Change (%)",TRUE)</f>
        <v>-2.7408999999999999E-2</v>
      </c>
      <c r="G46" s="108" cm="1">
        <f t="array" ref="G46">+_xll.TR(C46,"cf_last")/N46-1</f>
        <v>0.14502164502164505</v>
      </c>
      <c r="H46" s="108" cm="1">
        <f t="array" ref="H46">+_xll.TR(C46,"cf_last")/O46-1</f>
        <v>0.14502164502164505</v>
      </c>
      <c r="I46" s="104" cm="1">
        <f t="array" ref="I46">+_xll.TR(C46,"cf_last")/P46-1</f>
        <v>0.43579304495335025</v>
      </c>
      <c r="J46" s="108" cm="1">
        <f t="array" ref="J46">+_xll.TR(C46,"cf_last")/Q46-1</f>
        <v>-0.21520630505331473</v>
      </c>
      <c r="K46" s="108" cm="1">
        <f t="array" ref="K46">+_xll.TR(C46,"cf_last")/R46-1</f>
        <v>1.3259137125583953</v>
      </c>
      <c r="N46" s="105">
        <v>73.92</v>
      </c>
      <c r="O46" s="105">
        <v>73.92</v>
      </c>
      <c r="P46" s="105">
        <v>58.95</v>
      </c>
      <c r="Q46" s="106">
        <v>107.85</v>
      </c>
      <c r="R46" s="106">
        <v>36.39</v>
      </c>
    </row>
    <row r="47" spans="2:18">
      <c r="B47" s="107"/>
      <c r="C47" s="109"/>
      <c r="D47" s="109"/>
      <c r="E47" s="110"/>
      <c r="N47" s="18"/>
      <c r="O47" s="18"/>
      <c r="P47" s="18"/>
      <c r="Q47" s="18"/>
      <c r="R47" s="18"/>
    </row>
    <row r="48" spans="2:18">
      <c r="B48" s="99" t="s">
        <v>199</v>
      </c>
      <c r="C48" s="99" t="s">
        <v>123</v>
      </c>
      <c r="D48" s="99" t="s">
        <v>123</v>
      </c>
      <c r="E48" s="99" t="s">
        <v>124</v>
      </c>
      <c r="F48" s="99" t="s">
        <v>125</v>
      </c>
      <c r="G48" s="99" t="s">
        <v>126</v>
      </c>
      <c r="H48" s="99" t="s">
        <v>127</v>
      </c>
      <c r="I48" s="99">
        <v>2024</v>
      </c>
      <c r="J48" s="99">
        <v>2022</v>
      </c>
      <c r="K48" s="99">
        <v>2020</v>
      </c>
      <c r="N48" s="21" t="s">
        <v>126</v>
      </c>
      <c r="O48" s="21" t="s">
        <v>127</v>
      </c>
      <c r="P48" s="21" t="s">
        <v>128</v>
      </c>
      <c r="Q48" s="21" t="s">
        <v>129</v>
      </c>
      <c r="R48" s="21" t="s">
        <v>130</v>
      </c>
    </row>
    <row r="49" spans="2:18">
      <c r="B49" s="100" t="s">
        <v>200</v>
      </c>
      <c r="C49" s="101" t="s">
        <v>201</v>
      </c>
      <c r="D49" s="101" t="e" vm="52">
        <v>#VALUE!</v>
      </c>
      <c r="E49" s="102" cm="1">
        <f t="array" aca="1" ref="E49" ca="1">_FV(D49,"Price")</f>
        <v>104.71</v>
      </c>
      <c r="F49" s="103" cm="1">
        <f t="array" aca="1" ref="F49" ca="1">+_FV(D49,"Change (%)",TRUE)</f>
        <v>9.8370000000000003E-3</v>
      </c>
      <c r="G49" s="104" cm="1">
        <f t="array" ref="G49">+_xll.TR(C49,"cf_last")/N49-1</f>
        <v>2.8086600351082458E-2</v>
      </c>
      <c r="H49" s="104" cm="1">
        <f t="array" ref="H49">+_xll.TR(C49,"cf_last")/O49-1</f>
        <v>2.8086600351082458E-2</v>
      </c>
      <c r="I49" s="104" cm="1">
        <f t="array" ref="I49">+_xll.TR(C49,"cf_last")/P49-1</f>
        <v>0.29349693251533737</v>
      </c>
      <c r="J49" s="104" cm="1">
        <f t="array" ref="J49">+_xll.TR(C49,"cf_last")/Q49-1</f>
        <v>0.49066742081447967</v>
      </c>
      <c r="K49" s="104" cm="1">
        <f t="array" ref="K49">+_xll.TR(C49,"cf_last")/R49-1</f>
        <v>0.89570221183240428</v>
      </c>
      <c r="N49" s="105">
        <v>102.54</v>
      </c>
      <c r="O49" s="105">
        <v>102.54</v>
      </c>
      <c r="P49" s="105">
        <v>81.5</v>
      </c>
      <c r="Q49" s="106">
        <v>70.72</v>
      </c>
      <c r="R49" s="106">
        <v>55.61</v>
      </c>
    </row>
    <row r="50" spans="2:18">
      <c r="B50" s="100" t="s">
        <v>202</v>
      </c>
      <c r="C50" s="101" t="s">
        <v>203</v>
      </c>
      <c r="D50" s="101" t="e" vm="53">
        <v>#VALUE!</v>
      </c>
      <c r="E50" s="102" cm="1">
        <f t="array" aca="1" ref="E50" ca="1">_FV(D50,"Price")</f>
        <v>168.815</v>
      </c>
      <c r="F50" s="103" cm="1">
        <f t="array" aca="1" ref="F50" ca="1">+_FV(D50,"Change (%)",TRUE)</f>
        <v>-8.5450000000000005E-3</v>
      </c>
      <c r="G50" s="104" cm="1">
        <f t="array" ref="G50">+_xll.TR(C50,"cf_last")/N50-1</f>
        <v>1.2325830653804992E-2</v>
      </c>
      <c r="H50" s="104" cm="1">
        <f t="array" ref="H50">+_xll.TR(C50,"cf_last")/O50-1</f>
        <v>1.2325830653804992E-2</v>
      </c>
      <c r="I50" s="104" cm="1">
        <f t="array" ref="I50">+_xll.TR(C50,"cf_last")/P50-1</f>
        <v>0.67960877296976885</v>
      </c>
      <c r="J50" s="104" cm="1">
        <f t="array" ref="J50">+_xll.TR(C50,"cf_last")/Q50-1</f>
        <v>0.50384785493144624</v>
      </c>
      <c r="K50" s="104" cm="1">
        <f t="array" ref="K50">+_xll.TR(C50,"cf_last")/R50-1</f>
        <v>1.6448350964530181</v>
      </c>
      <c r="N50" s="105">
        <v>167.94</v>
      </c>
      <c r="O50" s="105">
        <v>167.94</v>
      </c>
      <c r="P50" s="105">
        <v>101.22</v>
      </c>
      <c r="Q50" s="106">
        <v>113.05</v>
      </c>
      <c r="R50" s="106">
        <v>64.28</v>
      </c>
    </row>
    <row r="51" spans="2:18">
      <c r="B51" s="100" t="s">
        <v>204</v>
      </c>
      <c r="C51" s="101" t="s">
        <v>205</v>
      </c>
      <c r="D51" s="101" t="e" vm="54">
        <v>#VALUE!</v>
      </c>
      <c r="E51" s="102" cm="1">
        <f t="array" aca="1" ref="E51" ca="1">_FV(D51,"Price")</f>
        <v>253.36</v>
      </c>
      <c r="F51" s="103" cm="1">
        <f t="array" aca="1" ref="F51" ca="1">+_FV(D51,"Change (%)",TRUE)</f>
        <v>-1.2126E-2</v>
      </c>
      <c r="G51" s="104" cm="1">
        <f t="array" ref="G51">+_xll.TR(C51,"cf_last")/N51-1</f>
        <v>2.7086412848068342E-2</v>
      </c>
      <c r="H51" s="104" cm="1">
        <f t="array" ref="H51">+_xll.TR(C51,"cf_last")/O51-1</f>
        <v>2.7086412848068342E-2</v>
      </c>
      <c r="I51" s="104" cm="1">
        <f t="array" ref="I51">+_xll.TR(C51,"cf_last")/P51-1</f>
        <v>0.66714220867647978</v>
      </c>
      <c r="J51" s="104" cm="1">
        <f t="array" ref="J51">+_xll.TR(C51,"cf_last")/Q51-1</f>
        <v>0.48324006230889038</v>
      </c>
      <c r="K51" s="104" cm="1">
        <f t="array" ref="K51">+_xll.TR(C51,"cf_last")/R51-1</f>
        <v>1.183540003397316</v>
      </c>
      <c r="N51" s="105">
        <v>250.31</v>
      </c>
      <c r="O51" s="105">
        <v>250.31</v>
      </c>
      <c r="P51" s="105">
        <v>154.21</v>
      </c>
      <c r="Q51" s="106">
        <v>173.33</v>
      </c>
      <c r="R51" s="106">
        <v>117.74</v>
      </c>
    </row>
    <row r="52" spans="2:18">
      <c r="B52" s="100" t="s">
        <v>206</v>
      </c>
      <c r="C52" s="101" t="s">
        <v>207</v>
      </c>
      <c r="D52" s="101" t="e" vm="55">
        <v>#VALUE!</v>
      </c>
      <c r="E52" s="102" cm="1">
        <f t="array" aca="1" ref="E52" ca="1">_FV(D52,"Price")</f>
        <v>202.465</v>
      </c>
      <c r="F52" s="103" cm="1">
        <f t="array" aca="1" ref="F52" ca="1">+_FV(D52,"Change (%)",TRUE)</f>
        <v>2.6490000000000003E-3</v>
      </c>
      <c r="G52" s="104" cm="1">
        <f t="array" ref="G52">+_xll.TR(C52,"cf_last")/N52-1</f>
        <v>2.8849058503675362E-2</v>
      </c>
      <c r="H52" s="104" cm="1">
        <f t="array" ref="H52">+_xll.TR(C52,"cf_last")/O52-1</f>
        <v>2.8849058503675362E-2</v>
      </c>
      <c r="I52" s="104" cm="1">
        <f t="array" ref="I52">+_xll.TR(C52,"cf_last")/P52-1</f>
        <v>0.41732556526564002</v>
      </c>
      <c r="J52" s="104" cm="1">
        <f t="array" ref="J52">+_xll.TR(C52,"cf_last")/Q52-1</f>
        <v>0.47014388489208625</v>
      </c>
      <c r="K52" s="104" cm="1">
        <f t="array" ref="K52">+_xll.TR(C52,"cf_last")/R52-1</f>
        <v>1.184159897392048</v>
      </c>
      <c r="N52" s="105">
        <v>198.62</v>
      </c>
      <c r="O52" s="105">
        <v>198.62</v>
      </c>
      <c r="P52" s="105">
        <v>144.18</v>
      </c>
      <c r="Q52" s="106">
        <v>139</v>
      </c>
      <c r="R52" s="106">
        <v>93.56</v>
      </c>
    </row>
    <row r="53" spans="2:18">
      <c r="B53" s="100" t="s">
        <v>208</v>
      </c>
      <c r="C53" s="101" t="s">
        <v>209</v>
      </c>
      <c r="D53" s="101" t="e" vm="56">
        <v>#VALUE!</v>
      </c>
      <c r="E53" s="102" cm="1">
        <f t="array" aca="1" ref="E53" ca="1">_FV(D53,"Price")</f>
        <v>94.495000000000005</v>
      </c>
      <c r="F53" s="103" cm="1">
        <f t="array" aca="1" ref="F53" ca="1">+_FV(D53,"Change (%)",TRUE)</f>
        <v>3.3450000000000003E-3</v>
      </c>
      <c r="G53" s="104" cm="1">
        <f t="array" ref="G53">+_xll.TR(C53,"cf_last")/N53-1</f>
        <v>6.903143585386573E-3</v>
      </c>
      <c r="H53" s="104" cm="1">
        <f t="array" ref="H53">+_xll.TR(C53,"cf_last")/O53-1</f>
        <v>6.903143585386573E-3</v>
      </c>
      <c r="I53" s="104" cm="1">
        <f t="array" ref="I53">+_xll.TR(C53,"cf_last")/P53-1</f>
        <v>0.2545983856027525</v>
      </c>
      <c r="J53" s="104" cm="1">
        <f t="array" ref="J53">+_xll.TR(C53,"cf_last")/Q53-1</f>
        <v>0.24848564656307626</v>
      </c>
      <c r="K53" s="104" cm="1">
        <f t="array" ref="K53">+_xll.TR(C53,"cf_last")/R53-1</f>
        <v>0.59398117014122409</v>
      </c>
      <c r="N53" s="105">
        <v>94.16</v>
      </c>
      <c r="O53" s="105">
        <v>94.16</v>
      </c>
      <c r="P53" s="105">
        <v>75.569999999999993</v>
      </c>
      <c r="Q53" s="106">
        <v>75.94</v>
      </c>
      <c r="R53" s="106">
        <v>59.48</v>
      </c>
    </row>
    <row r="54" spans="2:18">
      <c r="B54" s="100" t="s">
        <v>210</v>
      </c>
      <c r="C54" s="101" t="s">
        <v>211</v>
      </c>
      <c r="D54" s="101" t="e" vm="57">
        <v>#VALUE!</v>
      </c>
      <c r="E54" s="102" cm="1">
        <f t="array" aca="1" ref="E54" ca="1">_FV(D54,"Price")</f>
        <v>146.41</v>
      </c>
      <c r="F54" s="103" cm="1">
        <f t="array" aca="1" ref="F54" ca="1">+_FV(D54,"Change (%)",TRUE)</f>
        <v>9.0280000000000013E-3</v>
      </c>
      <c r="G54" s="104" cm="1">
        <f t="array" ref="G54">+_xll.TR(C54,"cf_last")/N54-1</f>
        <v>2.7173913043478048E-2</v>
      </c>
      <c r="H54" s="104" cm="1">
        <f t="array" ref="H54">+_xll.TR(C54,"cf_last")/O54-1</f>
        <v>2.7173913043478048E-2</v>
      </c>
      <c r="I54" s="104" cm="1">
        <f t="array" ref="I54">+_xll.TR(C54,"cf_last")/P54-1</f>
        <v>0.39417439001323995</v>
      </c>
      <c r="J54" s="104" cm="1">
        <f t="array" ref="J54">+_xll.TR(C54,"cf_last")/Q54-1</f>
        <v>0.46964410327983241</v>
      </c>
      <c r="K54" s="104" cm="1">
        <f t="array" ref="K54">+_xll.TR(C54,"cf_last")/R54-1</f>
        <v>0.87581117190482227</v>
      </c>
      <c r="N54" s="105">
        <v>143.52000000000001</v>
      </c>
      <c r="O54" s="105">
        <v>143.52000000000001</v>
      </c>
      <c r="P54" s="105">
        <v>105.74</v>
      </c>
      <c r="Q54" s="106">
        <v>100.31</v>
      </c>
      <c r="R54" s="106">
        <v>78.59</v>
      </c>
    </row>
    <row r="55" spans="2:18">
      <c r="B55" s="100" t="s">
        <v>212</v>
      </c>
      <c r="C55" s="101" t="s">
        <v>213</v>
      </c>
      <c r="D55" s="101" t="e" vm="58">
        <v>#VALUE!</v>
      </c>
      <c r="E55" s="102" cm="1">
        <f t="array" aca="1" ref="E55" ca="1">_FV(D55,"Price")</f>
        <v>70.64</v>
      </c>
      <c r="F55" s="103" cm="1">
        <f t="array" aca="1" ref="F55" ca="1">+_FV(D55,"Change (%)",TRUE)</f>
        <v>8.9990000000000001E-3</v>
      </c>
      <c r="G55" s="104" cm="1">
        <f t="array" ref="G55">+_xll.TR(C55,"cf_last")/N55-1</f>
        <v>2.4344569288389462E-2</v>
      </c>
      <c r="H55" s="104" cm="1">
        <f t="array" ref="H55">+_xll.TR(C55,"cf_last")/O55-1</f>
        <v>2.4344569288389462E-2</v>
      </c>
      <c r="I55" s="104" cm="1">
        <f t="array" ref="I55">+_xll.TR(C55,"cf_last")/P55-1</f>
        <v>0.38211856171039837</v>
      </c>
      <c r="J55" s="104" cm="1">
        <f t="array" ref="J55">+_xll.TR(C55,"cf_last")/Q55-1</f>
        <v>0.40589165678133643</v>
      </c>
      <c r="K55" s="104" cm="1">
        <f t="array" ref="K55">+_xll.TR(C55,"cf_last")/R55-1</f>
        <v>0.94982177131889234</v>
      </c>
      <c r="N55" s="105">
        <v>69.42</v>
      </c>
      <c r="O55" s="105">
        <v>69.42</v>
      </c>
      <c r="P55" s="105">
        <v>51.45</v>
      </c>
      <c r="Q55" s="106">
        <v>50.58</v>
      </c>
      <c r="R55" s="106">
        <v>36.47</v>
      </c>
    </row>
    <row r="56" spans="2:18">
      <c r="B56" s="100" t="s">
        <v>214</v>
      </c>
      <c r="C56" s="101" t="s">
        <v>215</v>
      </c>
      <c r="D56" s="101" t="e" vm="59">
        <v>#VALUE!</v>
      </c>
      <c r="E56" s="102" cm="1">
        <f t="array" aca="1" ref="E56" ca="1">_FV(D56,"Price")</f>
        <v>196.51</v>
      </c>
      <c r="F56" s="103" cm="1">
        <f t="array" aca="1" ref="F56" ca="1">+_FV(D56,"Change (%)",TRUE)</f>
        <v>8.8299999999999993E-3</v>
      </c>
      <c r="G56" s="104" cm="1">
        <f t="array" ref="G56">+_xll.TR(C56,"cf_last")/N56-1</f>
        <v>3.3305491751931537E-2</v>
      </c>
      <c r="H56" s="104" cm="1">
        <f t="array" ref="H56">+_xll.TR(C56,"cf_last")/O56-1</f>
        <v>3.3305491751931537E-2</v>
      </c>
      <c r="I56" s="104" cm="1">
        <f t="array" ref="I56">+_xll.TR(C56,"cf_last")/P56-1</f>
        <v>0.29618230633226372</v>
      </c>
      <c r="J56" s="104" cm="1">
        <f t="array" ref="J56">+_xll.TR(C56,"cf_last")/Q56-1</f>
        <v>0.29737169823687482</v>
      </c>
      <c r="K56" s="104" cm="1">
        <f t="array" ref="K56">+_xll.TR(C56,"cf_last")/R56-1</f>
        <v>0.89144768275203035</v>
      </c>
      <c r="N56" s="105">
        <v>191.56</v>
      </c>
      <c r="O56" s="105">
        <v>191.56</v>
      </c>
      <c r="P56" s="105">
        <v>152.71</v>
      </c>
      <c r="Q56" s="106">
        <v>152.57</v>
      </c>
      <c r="R56" s="106">
        <v>104.65</v>
      </c>
    </row>
  </sheetData>
  <sheetProtection algorithmName="SHA-512" hashValue="7hsnEM7brNuZRY2auXaSOmTRzxPmmWGHTOJuL5kAsUpqeOBKEYL6Jejbo14TVW69EX9fwUGOz8U5xKvI/qa6wQ==" saltValue="rSBJBxJ2Tp7Fs5WFRnZfTg==" spinCount="100000" sheet="1" objects="1" scenarios="1"/>
  <conditionalFormatting sqref="F5:F15">
    <cfRule type="colorScale" priority="62">
      <colorScale>
        <cfvo type="min"/>
        <cfvo type="percentile" val="50"/>
        <cfvo type="max"/>
        <color rgb="FFF8696B"/>
        <color rgb="FFFFEB84"/>
        <color rgb="FF63BE7B"/>
      </colorScale>
    </cfRule>
  </conditionalFormatting>
  <conditionalFormatting sqref="F18:F22">
    <cfRule type="colorScale" priority="4">
      <colorScale>
        <cfvo type="min"/>
        <cfvo type="percentile" val="50"/>
        <cfvo type="max"/>
        <color rgb="FFF8696B"/>
        <color rgb="FFFFEB84"/>
        <color rgb="FF63BE7B"/>
      </colorScale>
    </cfRule>
  </conditionalFormatting>
  <conditionalFormatting sqref="F23">
    <cfRule type="colorScale" priority="50">
      <colorScale>
        <cfvo type="min"/>
        <cfvo type="max"/>
        <color rgb="FFF8696B"/>
        <color rgb="FFFCFCFF"/>
      </colorScale>
    </cfRule>
    <cfRule type="colorScale" priority="49">
      <colorScale>
        <cfvo type="min"/>
        <cfvo type="percentile" val="50"/>
        <cfvo type="max"/>
        <color rgb="FFF8696B"/>
        <color rgb="FFFFEB84"/>
        <color rgb="FF63BE7B"/>
      </colorScale>
    </cfRule>
  </conditionalFormatting>
  <conditionalFormatting sqref="F25:F33">
    <cfRule type="colorScale" priority="3">
      <colorScale>
        <cfvo type="min"/>
        <cfvo type="percentile" val="50"/>
        <cfvo type="max"/>
        <color rgb="FFF8696B"/>
        <color rgb="FFFFEB84"/>
        <color rgb="FF63BE7B"/>
      </colorScale>
    </cfRule>
  </conditionalFormatting>
  <conditionalFormatting sqref="F36:F46">
    <cfRule type="colorScale" priority="2">
      <colorScale>
        <cfvo type="min"/>
        <cfvo type="percentile" val="50"/>
        <cfvo type="max"/>
        <color rgb="FFF8696B"/>
        <color rgb="FFFFEB84"/>
        <color rgb="FF63BE7B"/>
      </colorScale>
    </cfRule>
  </conditionalFormatting>
  <conditionalFormatting sqref="F49:F56">
    <cfRule type="colorScale" priority="1">
      <colorScale>
        <cfvo type="min"/>
        <cfvo type="percentile" val="50"/>
        <cfvo type="max"/>
        <color rgb="FFF8696B"/>
        <color rgb="FFFFEB84"/>
        <color rgb="FF63BE7B"/>
      </colorScale>
    </cfRule>
  </conditionalFormatting>
  <conditionalFormatting sqref="G5:G15">
    <cfRule type="colorScale" priority="29">
      <colorScale>
        <cfvo type="min"/>
        <cfvo type="percentile" val="50"/>
        <cfvo type="max"/>
        <color rgb="FFF8696B"/>
        <color rgb="FFFFEB84"/>
        <color rgb="FF63BE7B"/>
      </colorScale>
    </cfRule>
    <cfRule type="colorScale" priority="42">
      <colorScale>
        <cfvo type="min"/>
        <cfvo type="max"/>
        <color rgb="FFFFEF9C"/>
        <color rgb="FF63BE7B"/>
      </colorScale>
    </cfRule>
  </conditionalFormatting>
  <conditionalFormatting sqref="G18:G22 G25">
    <cfRule type="colorScale" priority="30">
      <colorScale>
        <cfvo type="min"/>
        <cfvo type="max"/>
        <color rgb="FFFFEF9C"/>
        <color rgb="FF63BE7B"/>
      </colorScale>
    </cfRule>
    <cfRule type="colorScale" priority="28">
      <colorScale>
        <cfvo type="min"/>
        <cfvo type="percentile" val="50"/>
        <cfvo type="max"/>
        <color rgb="FFF8696B"/>
        <color rgb="FFFFEB84"/>
        <color rgb="FF63BE7B"/>
      </colorScale>
    </cfRule>
  </conditionalFormatting>
  <conditionalFormatting sqref="G18:G23 G25:G33">
    <cfRule type="colorScale" priority="55">
      <colorScale>
        <cfvo type="min"/>
        <cfvo type="percentile" val="50"/>
        <cfvo type="max"/>
        <color rgb="FFF8696B"/>
        <color rgb="FFFFEB84"/>
        <color rgb="FF63BE7B"/>
      </colorScale>
    </cfRule>
    <cfRule type="colorScale" priority="41">
      <colorScale>
        <cfvo type="min"/>
        <cfvo type="max"/>
        <color rgb="FFFFEF9C"/>
        <color rgb="FF63BE7B"/>
      </colorScale>
    </cfRule>
  </conditionalFormatting>
  <conditionalFormatting sqref="G26:G33">
    <cfRule type="colorScale" priority="27">
      <colorScale>
        <cfvo type="min"/>
        <cfvo type="percentile" val="50"/>
        <cfvo type="max"/>
        <color rgb="FFF8696B"/>
        <color rgb="FFFFEB84"/>
        <color rgb="FF63BE7B"/>
      </colorScale>
    </cfRule>
  </conditionalFormatting>
  <conditionalFormatting sqref="G36:G46">
    <cfRule type="colorScale" priority="34">
      <colorScale>
        <cfvo type="min"/>
        <cfvo type="max"/>
        <color rgb="FFFFEF9C"/>
        <color rgb="FF63BE7B"/>
      </colorScale>
    </cfRule>
    <cfRule type="colorScale" priority="26">
      <colorScale>
        <cfvo type="min"/>
        <cfvo type="percentile" val="50"/>
        <cfvo type="max"/>
        <color rgb="FFF8696B"/>
        <color rgb="FFFFEB84"/>
        <color rgb="FF63BE7B"/>
      </colorScale>
    </cfRule>
  </conditionalFormatting>
  <conditionalFormatting sqref="G49:G56">
    <cfRule type="colorScale" priority="65">
      <colorScale>
        <cfvo type="min"/>
        <cfvo type="max"/>
        <color rgb="FFFFEF9C"/>
        <color rgb="FF63BE7B"/>
      </colorScale>
    </cfRule>
    <cfRule type="colorScale" priority="64">
      <colorScale>
        <cfvo type="min"/>
        <cfvo type="percentile" val="50"/>
        <cfvo type="max"/>
        <color rgb="FFF8696B"/>
        <color rgb="FFFFEB84"/>
        <color rgb="FF63BE7B"/>
      </colorScale>
    </cfRule>
  </conditionalFormatting>
  <conditionalFormatting sqref="H5:H15">
    <cfRule type="colorScale" priority="39">
      <colorScale>
        <cfvo type="min"/>
        <cfvo type="max"/>
        <color rgb="FFFFEF9C"/>
        <color rgb="FF63BE7B"/>
      </colorScale>
    </cfRule>
    <cfRule type="colorScale" priority="60">
      <colorScale>
        <cfvo type="min"/>
        <cfvo type="percentile" val="50"/>
        <cfvo type="max"/>
        <color rgb="FFF8696B"/>
        <color rgb="FFFFEB84"/>
        <color rgb="FF63BE7B"/>
      </colorScale>
    </cfRule>
  </conditionalFormatting>
  <conditionalFormatting sqref="H30:H33 H18:H23 H25:H28">
    <cfRule type="colorScale" priority="40">
      <colorScale>
        <cfvo type="min"/>
        <cfvo type="max"/>
        <color rgb="FFFFEF9C"/>
        <color rgb="FF63BE7B"/>
      </colorScale>
    </cfRule>
    <cfRule type="colorScale" priority="57">
      <colorScale>
        <cfvo type="min"/>
        <cfvo type="percentile" val="50"/>
        <cfvo type="max"/>
        <color rgb="FFF8696B"/>
        <color rgb="FFFFEB84"/>
        <color rgb="FF63BE7B"/>
      </colorScale>
    </cfRule>
  </conditionalFormatting>
  <conditionalFormatting sqref="H36:H46">
    <cfRule type="colorScale" priority="52">
      <colorScale>
        <cfvo type="min"/>
        <cfvo type="percentile" val="50"/>
        <cfvo type="max"/>
        <color rgb="FFF8696B"/>
        <color rgb="FFFFEB84"/>
        <color rgb="FF63BE7B"/>
      </colorScale>
    </cfRule>
    <cfRule type="colorScale" priority="33">
      <colorScale>
        <cfvo type="min"/>
        <cfvo type="max"/>
        <color rgb="FFFFEF9C"/>
        <color rgb="FF63BE7B"/>
      </colorScale>
    </cfRule>
  </conditionalFormatting>
  <conditionalFormatting sqref="H49:H56">
    <cfRule type="colorScale" priority="66">
      <colorScale>
        <cfvo type="min"/>
        <cfvo type="max"/>
        <color rgb="FFFFEF9C"/>
        <color rgb="FF63BE7B"/>
      </colorScale>
    </cfRule>
    <cfRule type="colorScale" priority="67">
      <colorScale>
        <cfvo type="min"/>
        <cfvo type="percentile" val="50"/>
        <cfvo type="max"/>
        <color rgb="FFF8696B"/>
        <color rgb="FFFFEB84"/>
        <color rgb="FF63BE7B"/>
      </colorScale>
    </cfRule>
  </conditionalFormatting>
  <conditionalFormatting sqref="H29:K29">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fRule type="colorScale" priority="7">
      <colorScale>
        <cfvo type="min"/>
        <cfvo type="percentile" val="50"/>
        <cfvo type="max"/>
        <color rgb="FFF8696B"/>
        <color rgb="FFFFEB84"/>
        <color rgb="FF63BE7B"/>
      </colorScale>
    </cfRule>
  </conditionalFormatting>
  <conditionalFormatting sqref="I5:I15">
    <cfRule type="colorScale" priority="20">
      <colorScale>
        <cfvo type="min"/>
        <cfvo type="max"/>
        <color rgb="FFFFEF9C"/>
        <color rgb="FF63BE7B"/>
      </colorScale>
    </cfRule>
    <cfRule type="colorScale" priority="22">
      <colorScale>
        <cfvo type="min"/>
        <cfvo type="percentile" val="50"/>
        <cfvo type="max"/>
        <color rgb="FFF8696B"/>
        <color rgb="FFFFEB84"/>
        <color rgb="FF63BE7B"/>
      </colorScale>
    </cfRule>
  </conditionalFormatting>
  <conditionalFormatting sqref="I18:I22">
    <cfRule type="colorScale" priority="17">
      <colorScale>
        <cfvo type="min"/>
        <cfvo type="max"/>
        <color rgb="FFFFEF9C"/>
        <color rgb="FF63BE7B"/>
      </colorScale>
    </cfRule>
    <cfRule type="colorScale" priority="18">
      <colorScale>
        <cfvo type="min"/>
        <cfvo type="percentile" val="50"/>
        <cfvo type="max"/>
        <color rgb="FFF8696B"/>
        <color rgb="FFFFEB84"/>
        <color rgb="FF63BE7B"/>
      </colorScale>
    </cfRule>
  </conditionalFormatting>
  <conditionalFormatting sqref="I23">
    <cfRule type="colorScale" priority="19">
      <colorScale>
        <cfvo type="min"/>
        <cfvo type="max"/>
        <color rgb="FFFFEF9C"/>
        <color rgb="FF63BE7B"/>
      </colorScale>
    </cfRule>
    <cfRule type="colorScale" priority="21">
      <colorScale>
        <cfvo type="min"/>
        <cfvo type="percentile" val="50"/>
        <cfvo type="max"/>
        <color rgb="FFF8696B"/>
        <color rgb="FFFFEB84"/>
        <color rgb="FF63BE7B"/>
      </colorScale>
    </cfRule>
  </conditionalFormatting>
  <conditionalFormatting sqref="I25:I28 I30:I33">
    <cfRule type="colorScale" priority="16">
      <colorScale>
        <cfvo type="min"/>
        <cfvo type="percentile" val="50"/>
        <cfvo type="max"/>
        <color rgb="FFF8696B"/>
        <color rgb="FFFFEB84"/>
        <color rgb="FF63BE7B"/>
      </colorScale>
    </cfRule>
    <cfRule type="colorScale" priority="15">
      <colorScale>
        <cfvo type="min"/>
        <cfvo type="max"/>
        <color rgb="FFFFEF9C"/>
        <color rgb="FF63BE7B"/>
      </colorScale>
    </cfRule>
  </conditionalFormatting>
  <conditionalFormatting sqref="I36:I46">
    <cfRule type="colorScale" priority="13">
      <colorScale>
        <cfvo type="min"/>
        <cfvo type="max"/>
        <color rgb="FFFFEF9C"/>
        <color rgb="FF63BE7B"/>
      </colorScale>
    </cfRule>
    <cfRule type="colorScale" priority="14">
      <colorScale>
        <cfvo type="min"/>
        <cfvo type="percentile" val="50"/>
        <cfvo type="max"/>
        <color rgb="FFF8696B"/>
        <color rgb="FFFFEB84"/>
        <color rgb="FF63BE7B"/>
      </colorScale>
    </cfRule>
  </conditionalFormatting>
  <conditionalFormatting sqref="I49:I56">
    <cfRule type="colorScale" priority="12">
      <colorScale>
        <cfvo type="min"/>
        <cfvo type="percentile" val="50"/>
        <cfvo type="max"/>
        <color rgb="FFF8696B"/>
        <color rgb="FFFFEB84"/>
        <color rgb="FF63BE7B"/>
      </colorScale>
    </cfRule>
    <cfRule type="colorScale" priority="11">
      <colorScale>
        <cfvo type="min"/>
        <cfvo type="max"/>
        <color rgb="FFFFEF9C"/>
        <color rgb="FF63BE7B"/>
      </colorScale>
    </cfRule>
  </conditionalFormatting>
  <conditionalFormatting sqref="J5:J15">
    <cfRule type="colorScale" priority="38">
      <colorScale>
        <cfvo type="min"/>
        <cfvo type="max"/>
        <color rgb="FFFFEF9C"/>
        <color rgb="FF63BE7B"/>
      </colorScale>
    </cfRule>
    <cfRule type="colorScale" priority="48">
      <colorScale>
        <cfvo type="min"/>
        <cfvo type="percentile" val="50"/>
        <cfvo type="max"/>
        <color rgb="FFF8696B"/>
        <color rgb="FFFFEB84"/>
        <color rgb="FF63BE7B"/>
      </colorScale>
    </cfRule>
  </conditionalFormatting>
  <conditionalFormatting sqref="J30:J33 J18:J23 J25:J28">
    <cfRule type="colorScale" priority="36">
      <colorScale>
        <cfvo type="min"/>
        <cfvo type="max"/>
        <color rgb="FFFFEF9C"/>
        <color rgb="FF63BE7B"/>
      </colorScale>
    </cfRule>
    <cfRule type="colorScale" priority="47">
      <colorScale>
        <cfvo type="min"/>
        <cfvo type="percentile" val="50"/>
        <cfvo type="max"/>
        <color rgb="FFF8696B"/>
        <color rgb="FFFFEB84"/>
        <color rgb="FF63BE7B"/>
      </colorScale>
    </cfRule>
  </conditionalFormatting>
  <conditionalFormatting sqref="J36:J46">
    <cfRule type="colorScale" priority="32">
      <colorScale>
        <cfvo type="min"/>
        <cfvo type="max"/>
        <color rgb="FFFFEF9C"/>
        <color rgb="FF63BE7B"/>
      </colorScale>
    </cfRule>
    <cfRule type="colorScale" priority="46">
      <colorScale>
        <cfvo type="min"/>
        <cfvo type="percentile" val="50"/>
        <cfvo type="max"/>
        <color rgb="FFF8696B"/>
        <color rgb="FFFFEB84"/>
        <color rgb="FF63BE7B"/>
      </colorScale>
    </cfRule>
  </conditionalFormatting>
  <conditionalFormatting sqref="J49:J56">
    <cfRule type="colorScale" priority="68">
      <colorScale>
        <cfvo type="min"/>
        <cfvo type="max"/>
        <color rgb="FFFFEF9C"/>
        <color rgb="FF63BE7B"/>
      </colorScale>
    </cfRule>
    <cfRule type="colorScale" priority="69">
      <colorScale>
        <cfvo type="min"/>
        <cfvo type="percentile" val="50"/>
        <cfvo type="max"/>
        <color rgb="FFF8696B"/>
        <color rgb="FFFFEB84"/>
        <color rgb="FF63BE7B"/>
      </colorScale>
    </cfRule>
  </conditionalFormatting>
  <conditionalFormatting sqref="K5:K15">
    <cfRule type="colorScale" priority="37">
      <colorScale>
        <cfvo type="min"/>
        <cfvo type="max"/>
        <color rgb="FFFFEF9C"/>
        <color rgb="FF63BE7B"/>
      </colorScale>
    </cfRule>
    <cfRule type="colorScale" priority="59">
      <colorScale>
        <cfvo type="min"/>
        <cfvo type="percentile" val="50"/>
        <cfvo type="max"/>
        <color rgb="FFF8696B"/>
        <color rgb="FFFFEB84"/>
        <color rgb="FF63BE7B"/>
      </colorScale>
    </cfRule>
  </conditionalFormatting>
  <conditionalFormatting sqref="K30:K33 K18:K23 K25:K28">
    <cfRule type="colorScale" priority="35">
      <colorScale>
        <cfvo type="min"/>
        <cfvo type="max"/>
        <color rgb="FFFFEF9C"/>
        <color rgb="FF63BE7B"/>
      </colorScale>
    </cfRule>
    <cfRule type="colorScale" priority="56">
      <colorScale>
        <cfvo type="min"/>
        <cfvo type="percentile" val="50"/>
        <cfvo type="max"/>
        <color rgb="FFF8696B"/>
        <color rgb="FFFFEB84"/>
        <color rgb="FF63BE7B"/>
      </colorScale>
    </cfRule>
  </conditionalFormatting>
  <conditionalFormatting sqref="K36:K46">
    <cfRule type="colorScale" priority="31">
      <colorScale>
        <cfvo type="min"/>
        <cfvo type="max"/>
        <color rgb="FFFFEF9C"/>
        <color rgb="FF63BE7B"/>
      </colorScale>
    </cfRule>
    <cfRule type="colorScale" priority="51">
      <colorScale>
        <cfvo type="min"/>
        <cfvo type="percentile" val="50"/>
        <cfvo type="max"/>
        <color rgb="FFF8696B"/>
        <color rgb="FFFFEB84"/>
        <color rgb="FF63BE7B"/>
      </colorScale>
    </cfRule>
  </conditionalFormatting>
  <conditionalFormatting sqref="K49:K56">
    <cfRule type="colorScale" priority="70">
      <colorScale>
        <cfvo type="min"/>
        <cfvo type="max"/>
        <color rgb="FFFFEF9C"/>
        <color rgb="FF63BE7B"/>
      </colorScale>
    </cfRule>
    <cfRule type="colorScale" priority="71">
      <colorScale>
        <cfvo type="min"/>
        <cfvo type="percentile" val="50"/>
        <cfvo type="max"/>
        <color rgb="FFF8696B"/>
        <color rgb="FFFFEB84"/>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D6A3-D1FC-4DC2-83A6-BDDAF47BC89D}">
  <dimension ref="B1:Q29"/>
  <sheetViews>
    <sheetView workbookViewId="0">
      <selection activeCell="H19" sqref="H19"/>
    </sheetView>
  </sheetViews>
  <sheetFormatPr defaultColWidth="9.140625" defaultRowHeight="14.45"/>
  <cols>
    <col min="1" max="1" width="9.140625" style="1"/>
    <col min="2" max="2" width="29" style="1" bestFit="1" customWidth="1"/>
    <col min="3" max="3" width="14.7109375" style="1" customWidth="1"/>
    <col min="4" max="4" width="11.7109375" style="1" customWidth="1"/>
    <col min="5" max="5" width="12" style="1" customWidth="1"/>
    <col min="6" max="16384" width="9.140625" style="1"/>
  </cols>
  <sheetData>
    <row r="1" spans="2:17" ht="15.6">
      <c r="B1" s="21" t="s">
        <v>216</v>
      </c>
    </row>
    <row r="3" spans="2:17" ht="15.6">
      <c r="B3" s="20" t="s">
        <v>49</v>
      </c>
      <c r="C3" s="4"/>
      <c r="D3" s="4"/>
      <c r="E3" s="4"/>
      <c r="F3" s="4"/>
      <c r="I3" s="20" t="s">
        <v>50</v>
      </c>
      <c r="J3" s="4"/>
      <c r="K3" s="4"/>
      <c r="L3" s="4"/>
      <c r="M3" s="4"/>
      <c r="N3" s="4"/>
      <c r="O3" s="4"/>
      <c r="P3" s="4"/>
      <c r="Q3" s="4"/>
    </row>
    <row r="4" spans="2:17" ht="15" customHeight="1">
      <c r="B4" s="126" t="s">
        <v>217</v>
      </c>
      <c r="C4" s="127"/>
      <c r="D4" s="127"/>
      <c r="E4" s="127"/>
      <c r="F4" s="127"/>
      <c r="G4" s="128"/>
      <c r="I4" s="126" t="s">
        <v>218</v>
      </c>
      <c r="J4" s="127"/>
      <c r="K4" s="127"/>
      <c r="L4" s="127"/>
      <c r="M4" s="127"/>
      <c r="N4" s="127"/>
      <c r="O4" s="127"/>
      <c r="P4" s="127"/>
      <c r="Q4" s="128"/>
    </row>
    <row r="5" spans="2:17" ht="15" customHeight="1">
      <c r="B5" s="129"/>
      <c r="C5" s="130"/>
      <c r="D5" s="130"/>
      <c r="E5" s="130"/>
      <c r="F5" s="130"/>
      <c r="G5" s="131"/>
      <c r="I5" s="129"/>
      <c r="J5" s="130"/>
      <c r="K5" s="130"/>
      <c r="L5" s="130"/>
      <c r="M5" s="130"/>
      <c r="N5" s="130"/>
      <c r="O5" s="130"/>
      <c r="P5" s="130"/>
      <c r="Q5" s="131"/>
    </row>
    <row r="6" spans="2:17" ht="15" customHeight="1">
      <c r="B6" s="129"/>
      <c r="C6" s="130"/>
      <c r="D6" s="130"/>
      <c r="E6" s="130"/>
      <c r="F6" s="130"/>
      <c r="G6" s="131"/>
      <c r="I6" s="129"/>
      <c r="J6" s="130"/>
      <c r="K6" s="130"/>
      <c r="L6" s="130"/>
      <c r="M6" s="130"/>
      <c r="N6" s="130"/>
      <c r="O6" s="130"/>
      <c r="P6" s="130"/>
      <c r="Q6" s="131"/>
    </row>
    <row r="7" spans="2:17" ht="15" customHeight="1">
      <c r="B7" s="132"/>
      <c r="C7" s="133"/>
      <c r="D7" s="133"/>
      <c r="E7" s="133"/>
      <c r="F7" s="133"/>
      <c r="G7" s="134"/>
      <c r="I7" s="132"/>
      <c r="J7" s="133"/>
      <c r="K7" s="133"/>
      <c r="L7" s="133"/>
      <c r="M7" s="133"/>
      <c r="N7" s="133"/>
      <c r="O7" s="133"/>
      <c r="P7" s="133"/>
      <c r="Q7" s="134"/>
    </row>
    <row r="9" spans="2:17" ht="16.5" customHeight="1">
      <c r="B9" s="147" t="s">
        <v>98</v>
      </c>
      <c r="C9" s="147"/>
      <c r="D9" s="147"/>
      <c r="E9" s="147"/>
    </row>
    <row r="10" spans="2:17" ht="15.6">
      <c r="B10" s="93" t="s">
        <v>104</v>
      </c>
      <c r="C10" s="94">
        <v>0.9</v>
      </c>
      <c r="D10" s="94" t="s">
        <v>100</v>
      </c>
      <c r="E10" s="94" t="s">
        <v>101</v>
      </c>
    </row>
    <row r="11" spans="2:17" ht="15.6">
      <c r="B11" s="95" t="s">
        <v>107</v>
      </c>
      <c r="C11" s="96">
        <v>0.13500000000000001</v>
      </c>
      <c r="D11" s="42">
        <v>7.3999999999999996E-2</v>
      </c>
      <c r="E11" s="43">
        <v>3.97</v>
      </c>
    </row>
    <row r="12" spans="2:17" ht="15.6">
      <c r="B12" s="95" t="s">
        <v>108</v>
      </c>
      <c r="C12" s="96">
        <v>0.13500000000000001</v>
      </c>
      <c r="D12" s="42">
        <v>7.4999999999999997E-2</v>
      </c>
      <c r="E12" s="43">
        <v>5.87</v>
      </c>
    </row>
    <row r="13" spans="2:17" ht="15.6">
      <c r="B13" s="95" t="s">
        <v>219</v>
      </c>
      <c r="C13" s="96">
        <v>0.13500000000000001</v>
      </c>
      <c r="D13" s="42">
        <v>7.0999999999999994E-2</v>
      </c>
      <c r="E13" s="43">
        <v>3.94</v>
      </c>
    </row>
    <row r="14" spans="2:17" ht="15.6">
      <c r="B14" s="95" t="s">
        <v>220</v>
      </c>
      <c r="C14" s="96">
        <v>0.13500000000000001</v>
      </c>
      <c r="D14" s="42">
        <v>7.5999999999999998E-2</v>
      </c>
      <c r="E14" s="43">
        <v>6.78</v>
      </c>
    </row>
    <row r="15" spans="2:17" ht="15.6">
      <c r="B15" s="95" t="s">
        <v>106</v>
      </c>
      <c r="C15" s="96">
        <v>0.13500000000000001</v>
      </c>
      <c r="D15" s="42">
        <v>7.6999999999999999E-2</v>
      </c>
      <c r="E15" s="43">
        <v>4.25</v>
      </c>
    </row>
    <row r="16" spans="2:17" ht="15.6">
      <c r="B16" s="95" t="s">
        <v>109</v>
      </c>
      <c r="C16" s="96">
        <v>0.13500000000000001</v>
      </c>
      <c r="D16" s="42">
        <v>7.5999999999999998E-2</v>
      </c>
      <c r="E16" s="43">
        <v>7.62</v>
      </c>
    </row>
    <row r="17" spans="2:5" ht="15.6">
      <c r="B17" s="95" t="s">
        <v>105</v>
      </c>
      <c r="C17" s="96">
        <v>0.09</v>
      </c>
      <c r="D17" s="42">
        <v>7.9000000000000001E-2</v>
      </c>
      <c r="E17" s="43">
        <v>5.0599999999999996</v>
      </c>
    </row>
    <row r="18" spans="2:5" ht="15.6">
      <c r="B18" s="93" t="s">
        <v>221</v>
      </c>
      <c r="C18" s="94">
        <v>0.1</v>
      </c>
      <c r="D18" s="97" t="s">
        <v>100</v>
      </c>
      <c r="E18" s="98" t="s">
        <v>101</v>
      </c>
    </row>
    <row r="19" spans="2:5" ht="15.6">
      <c r="B19" s="95" t="s">
        <v>222</v>
      </c>
      <c r="C19" s="96">
        <v>0.05</v>
      </c>
      <c r="D19" s="42">
        <v>5.3999999999999999E-2</v>
      </c>
      <c r="E19" s="43">
        <v>0.8</v>
      </c>
    </row>
    <row r="20" spans="2:5" ht="15.6">
      <c r="B20" s="95" t="s">
        <v>223</v>
      </c>
      <c r="C20" s="96">
        <v>0.05</v>
      </c>
      <c r="D20" s="42">
        <v>0.04</v>
      </c>
      <c r="E20" s="43">
        <v>2.67</v>
      </c>
    </row>
    <row r="22" spans="2:5" ht="15.6">
      <c r="B22" s="37" t="s">
        <v>91</v>
      </c>
      <c r="C22" s="21" t="s">
        <v>92</v>
      </c>
    </row>
    <row r="23" spans="2:5" ht="15.6">
      <c r="B23" s="59" t="s">
        <v>93</v>
      </c>
      <c r="C23" s="60">
        <v>7.2425000000000003E-2</v>
      </c>
    </row>
    <row r="24" spans="2:5" ht="15.6">
      <c r="B24" s="61" t="s">
        <v>94</v>
      </c>
      <c r="C24" s="62">
        <v>5.0069499999999998</v>
      </c>
    </row>
    <row r="26" spans="2:5" ht="15">
      <c r="B26" s="148" t="s">
        <v>85</v>
      </c>
      <c r="C26" s="149"/>
    </row>
    <row r="27" spans="2:5" ht="15">
      <c r="B27" s="63" t="s">
        <v>86</v>
      </c>
      <c r="C27" s="64" t="s">
        <v>87</v>
      </c>
    </row>
    <row r="28" spans="2:5" ht="15">
      <c r="B28" s="65" t="s">
        <v>224</v>
      </c>
      <c r="C28" s="66">
        <v>0.9</v>
      </c>
    </row>
    <row r="29" spans="2:5" ht="15">
      <c r="B29" s="65" t="s">
        <v>221</v>
      </c>
      <c r="C29" s="67">
        <v>0.1</v>
      </c>
    </row>
  </sheetData>
  <sheetProtection algorithmName="SHA-512" hashValue="mnkN/aa1GFoskNjhBRBZ7I7j1xq9MiBuiUuHcKMiJuUGcuN9z2SIEOeKXWuSZD/CBLs3ZOiZ+1bwMkcOXmVbsg==" saltValue="2kZu6wEJzqKHtIX9O31Q8Q==" spinCount="100000" sheet="1" objects="1" scenarios="1"/>
  <mergeCells count="4">
    <mergeCell ref="B9:E9"/>
    <mergeCell ref="B4:G7"/>
    <mergeCell ref="I4:Q7"/>
    <mergeCell ref="B26:C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886E4-BD72-4D3A-A206-6A6BE5E35BE1}">
  <dimension ref="A1:N35"/>
  <sheetViews>
    <sheetView topLeftCell="K1" workbookViewId="0">
      <selection activeCell="AB7" sqref="AB7"/>
    </sheetView>
  </sheetViews>
  <sheetFormatPr defaultColWidth="11.42578125" defaultRowHeight="14.45"/>
  <cols>
    <col min="1" max="1" width="23" customWidth="1"/>
    <col min="10" max="10" width="13.5703125" bestFit="1" customWidth="1"/>
    <col min="12" max="12" width="13.42578125" bestFit="1" customWidth="1"/>
    <col min="13" max="13" width="12.28515625" bestFit="1" customWidth="1"/>
    <col min="14" max="14" width="19.140625" customWidth="1"/>
  </cols>
  <sheetData>
    <row r="1" spans="1:14" ht="31.15">
      <c r="A1" s="82" t="s">
        <v>225</v>
      </c>
      <c r="B1" s="21" t="s">
        <v>226</v>
      </c>
      <c r="C1" s="21" t="s">
        <v>227</v>
      </c>
      <c r="D1" s="21" t="s">
        <v>228</v>
      </c>
      <c r="E1" s="21" t="s">
        <v>229</v>
      </c>
      <c r="F1" s="21" t="s">
        <v>230</v>
      </c>
      <c r="G1" s="21" t="s">
        <v>231</v>
      </c>
      <c r="H1" s="21" t="s">
        <v>232</v>
      </c>
      <c r="I1" s="21" t="s">
        <v>233</v>
      </c>
      <c r="J1" s="21" t="s">
        <v>234</v>
      </c>
      <c r="K1" s="21" t="s">
        <v>235</v>
      </c>
      <c r="L1" s="21" t="s">
        <v>236</v>
      </c>
      <c r="M1" s="21" t="s">
        <v>237</v>
      </c>
      <c r="N1" s="21" t="s">
        <v>238</v>
      </c>
    </row>
    <row r="2" spans="1:14" ht="15.6">
      <c r="A2" s="35" t="s">
        <v>239</v>
      </c>
      <c r="B2" s="35"/>
      <c r="C2" s="29"/>
      <c r="D2" s="29"/>
      <c r="E2" s="29"/>
      <c r="F2" s="29"/>
      <c r="G2" s="29"/>
      <c r="H2" s="29"/>
      <c r="I2" s="29"/>
      <c r="J2" s="29"/>
      <c r="K2" s="29"/>
      <c r="L2" s="29"/>
      <c r="M2" s="29"/>
      <c r="N2" s="29" t="s">
        <v>240</v>
      </c>
    </row>
    <row r="3" spans="1:14" ht="15.6">
      <c r="A3" s="25" t="s">
        <v>77</v>
      </c>
      <c r="B3" s="24">
        <v>1.75</v>
      </c>
      <c r="C3" s="24"/>
      <c r="D3" s="24"/>
      <c r="E3" s="24"/>
      <c r="F3" s="24"/>
      <c r="G3" s="24"/>
      <c r="H3" s="24">
        <v>1.75</v>
      </c>
      <c r="I3" s="24"/>
      <c r="J3" s="24"/>
      <c r="K3" s="24"/>
      <c r="L3" s="24"/>
      <c r="M3" s="24"/>
      <c r="N3" s="28">
        <f>+SUM(B3:M3)</f>
        <v>3.5</v>
      </c>
    </row>
    <row r="4" spans="1:14" ht="15.6">
      <c r="A4" s="25" t="s">
        <v>79</v>
      </c>
      <c r="B4" s="24">
        <v>8.3000000000000007</v>
      </c>
      <c r="C4" s="24"/>
      <c r="D4" s="24"/>
      <c r="E4" s="24"/>
      <c r="F4" s="24"/>
      <c r="G4" s="24"/>
      <c r="H4" s="24">
        <v>8.27</v>
      </c>
      <c r="I4" s="24"/>
      <c r="J4" s="24"/>
      <c r="K4" s="24"/>
      <c r="L4" s="24"/>
      <c r="M4" s="24"/>
      <c r="N4" s="28">
        <f>+SUM(B4:M4)</f>
        <v>16.57</v>
      </c>
    </row>
    <row r="5" spans="1:14" ht="15.6">
      <c r="A5" s="25" t="s">
        <v>241</v>
      </c>
      <c r="B5" s="24"/>
      <c r="C5" s="24"/>
      <c r="D5" s="24">
        <v>5.94</v>
      </c>
      <c r="E5" s="24"/>
      <c r="F5" s="24"/>
      <c r="G5" s="24"/>
      <c r="H5" s="24"/>
      <c r="I5" s="24"/>
      <c r="J5" s="24">
        <v>5.85</v>
      </c>
      <c r="K5" s="24"/>
      <c r="L5" s="24"/>
      <c r="M5" s="24"/>
      <c r="N5" s="28">
        <f>+SUM(B5:M5)</f>
        <v>11.79</v>
      </c>
    </row>
    <row r="6" spans="1:14" ht="15.6">
      <c r="A6" s="25" t="s">
        <v>83</v>
      </c>
      <c r="B6" s="24">
        <v>4.88</v>
      </c>
      <c r="C6" s="24"/>
      <c r="D6" s="24"/>
      <c r="E6" s="24"/>
      <c r="F6" s="24"/>
      <c r="G6" s="24"/>
      <c r="H6" s="24">
        <v>4.88</v>
      </c>
      <c r="I6" s="24"/>
      <c r="J6" s="24"/>
      <c r="K6" s="24"/>
      <c r="L6" s="24"/>
      <c r="M6" s="24"/>
      <c r="N6" s="28">
        <f>+SUM(B6:M6)</f>
        <v>9.76</v>
      </c>
    </row>
    <row r="7" spans="1:14" ht="15.6">
      <c r="A7" s="40" t="s">
        <v>242</v>
      </c>
      <c r="B7" s="27">
        <f t="shared" ref="B7:N7" si="0">+SUM(B3:B6)</f>
        <v>14.93</v>
      </c>
      <c r="C7" s="27">
        <f t="shared" si="0"/>
        <v>0</v>
      </c>
      <c r="D7" s="27">
        <f t="shared" si="0"/>
        <v>5.94</v>
      </c>
      <c r="E7" s="27">
        <f t="shared" si="0"/>
        <v>0</v>
      </c>
      <c r="F7" s="27">
        <f t="shared" si="0"/>
        <v>0</v>
      </c>
      <c r="G7" s="27">
        <f t="shared" si="0"/>
        <v>0</v>
      </c>
      <c r="H7" s="27">
        <f t="shared" si="0"/>
        <v>14.899999999999999</v>
      </c>
      <c r="I7" s="27">
        <f t="shared" si="0"/>
        <v>0</v>
      </c>
      <c r="J7" s="27">
        <f t="shared" si="0"/>
        <v>5.85</v>
      </c>
      <c r="K7" s="27">
        <f t="shared" si="0"/>
        <v>0</v>
      </c>
      <c r="L7" s="27">
        <f t="shared" si="0"/>
        <v>0</v>
      </c>
      <c r="M7" s="27">
        <f t="shared" si="0"/>
        <v>0</v>
      </c>
      <c r="N7" s="27">
        <f t="shared" si="0"/>
        <v>41.62</v>
      </c>
    </row>
    <row r="8" spans="1:14" ht="10.15" customHeight="1">
      <c r="A8" s="26"/>
      <c r="B8" s="24"/>
      <c r="C8" s="24"/>
      <c r="D8" s="24"/>
      <c r="E8" s="24"/>
      <c r="F8" s="24"/>
      <c r="G8" s="24"/>
      <c r="H8" s="24"/>
      <c r="I8" s="24"/>
      <c r="J8" s="24"/>
      <c r="K8" s="24"/>
      <c r="L8" s="24"/>
      <c r="M8" s="24"/>
      <c r="N8" s="24"/>
    </row>
    <row r="9" spans="1:14" s="34" customFormat="1" ht="15.6">
      <c r="A9" s="35" t="s">
        <v>243</v>
      </c>
      <c r="B9" s="35"/>
      <c r="C9" s="29"/>
      <c r="D9" s="29"/>
      <c r="E9" s="29"/>
      <c r="F9" s="29"/>
      <c r="G9" s="29"/>
      <c r="H9" s="29"/>
      <c r="I9" s="29"/>
      <c r="J9" s="29"/>
      <c r="K9" s="29"/>
      <c r="L9" s="29"/>
      <c r="M9" s="29"/>
      <c r="N9" s="29" t="s">
        <v>240</v>
      </c>
    </row>
    <row r="10" spans="1:14" ht="15.6">
      <c r="A10" s="25" t="s">
        <v>79</v>
      </c>
      <c r="B10" s="24">
        <v>8.3000000000000007</v>
      </c>
      <c r="C10" s="24"/>
      <c r="D10" s="24"/>
      <c r="E10" s="24"/>
      <c r="F10" s="24"/>
      <c r="G10" s="24"/>
      <c r="H10" s="24">
        <v>8.27</v>
      </c>
      <c r="I10" s="24"/>
      <c r="J10" s="24"/>
      <c r="K10" s="24"/>
      <c r="L10" s="24"/>
      <c r="M10" s="24"/>
      <c r="N10" s="28">
        <f t="shared" ref="N10:N20" si="1">+SUM(B10:M10)</f>
        <v>16.57</v>
      </c>
    </row>
    <row r="11" spans="1:14" ht="15.6">
      <c r="A11" s="25" t="s">
        <v>77</v>
      </c>
      <c r="B11" s="24">
        <v>1.75</v>
      </c>
      <c r="C11" s="24"/>
      <c r="D11" s="24"/>
      <c r="E11" s="24"/>
      <c r="F11" s="24"/>
      <c r="G11" s="24"/>
      <c r="H11" s="24">
        <v>1.75</v>
      </c>
      <c r="I11" s="24"/>
      <c r="J11" s="24"/>
      <c r="K11" s="24"/>
      <c r="L11" s="24"/>
      <c r="M11" s="24"/>
      <c r="N11" s="28">
        <f t="shared" si="1"/>
        <v>3.5</v>
      </c>
    </row>
    <row r="12" spans="1:14" ht="15.6">
      <c r="A12" s="25" t="s">
        <v>102</v>
      </c>
      <c r="B12" s="24">
        <v>2.5</v>
      </c>
      <c r="C12" s="24"/>
      <c r="D12" s="24"/>
      <c r="E12" s="24"/>
      <c r="F12" s="24"/>
      <c r="G12" s="24"/>
      <c r="H12" s="24">
        <v>2.5</v>
      </c>
      <c r="I12" s="24"/>
      <c r="J12" s="24"/>
      <c r="K12" s="24"/>
      <c r="L12" s="24"/>
      <c r="M12" s="24"/>
      <c r="N12" s="28">
        <f t="shared" si="1"/>
        <v>5</v>
      </c>
    </row>
    <row r="13" spans="1:14" ht="15.6">
      <c r="A13" s="25" t="s">
        <v>103</v>
      </c>
      <c r="B13" s="24"/>
      <c r="C13" s="24"/>
      <c r="D13" s="24"/>
      <c r="E13" s="24"/>
      <c r="F13" s="24"/>
      <c r="G13" s="24">
        <v>4.05</v>
      </c>
      <c r="H13" s="24"/>
      <c r="I13" s="24"/>
      <c r="J13" s="24"/>
      <c r="K13" s="24"/>
      <c r="L13" s="24"/>
      <c r="M13" s="24">
        <v>4.05</v>
      </c>
      <c r="N13" s="28">
        <f t="shared" si="1"/>
        <v>8.1</v>
      </c>
    </row>
    <row r="14" spans="1:14" ht="15.6">
      <c r="A14" s="25" t="s">
        <v>83</v>
      </c>
      <c r="B14" s="24">
        <v>4.88</v>
      </c>
      <c r="C14" s="24"/>
      <c r="D14" s="24"/>
      <c r="E14" s="24"/>
      <c r="F14" s="24"/>
      <c r="G14" s="24"/>
      <c r="H14" s="24">
        <v>4.88</v>
      </c>
      <c r="I14" s="24"/>
      <c r="J14" s="24"/>
      <c r="K14" s="24"/>
      <c r="L14" s="24"/>
      <c r="M14" s="24"/>
      <c r="N14" s="28">
        <f t="shared" si="1"/>
        <v>9.76</v>
      </c>
    </row>
    <row r="15" spans="1:14" ht="15.6">
      <c r="A15" s="25" t="s">
        <v>105</v>
      </c>
      <c r="B15" s="24"/>
      <c r="C15" s="24"/>
      <c r="D15" s="24"/>
      <c r="E15" s="24"/>
      <c r="F15" s="24">
        <v>4.63</v>
      </c>
      <c r="G15" s="24"/>
      <c r="I15" s="24"/>
      <c r="J15" s="24"/>
      <c r="K15" s="24"/>
      <c r="L15" s="24">
        <v>4.63</v>
      </c>
      <c r="M15" s="24"/>
      <c r="N15" s="28">
        <f t="shared" si="1"/>
        <v>9.26</v>
      </c>
    </row>
    <row r="16" spans="1:14" ht="15.6">
      <c r="A16" s="25" t="s">
        <v>106</v>
      </c>
      <c r="B16" s="24"/>
      <c r="C16" s="24"/>
      <c r="D16" s="24"/>
      <c r="E16" s="24"/>
      <c r="F16" s="24">
        <v>4.0599999999999996</v>
      </c>
      <c r="G16" s="24"/>
      <c r="H16" s="24"/>
      <c r="I16" s="24"/>
      <c r="J16" s="24"/>
      <c r="K16" s="24"/>
      <c r="L16" s="24">
        <v>4.0599999999999996</v>
      </c>
      <c r="M16" s="24"/>
      <c r="N16" s="28">
        <f t="shared" si="1"/>
        <v>8.1199999999999992</v>
      </c>
    </row>
    <row r="17" spans="1:14" ht="15.6">
      <c r="A17" s="25" t="s">
        <v>107</v>
      </c>
      <c r="B17" s="24"/>
      <c r="C17" s="24"/>
      <c r="D17" s="24">
        <v>4.38</v>
      </c>
      <c r="E17" s="24"/>
      <c r="F17" s="24"/>
      <c r="G17" s="24"/>
      <c r="H17" s="24"/>
      <c r="I17" s="24"/>
      <c r="J17" s="24">
        <v>4.38</v>
      </c>
      <c r="K17" s="24"/>
      <c r="L17" s="24"/>
      <c r="M17" s="24"/>
      <c r="N17" s="28">
        <f t="shared" si="1"/>
        <v>8.76</v>
      </c>
    </row>
    <row r="18" spans="1:14" ht="15.6">
      <c r="A18" s="25" t="s">
        <v>108</v>
      </c>
      <c r="B18" s="24"/>
      <c r="C18" s="24"/>
      <c r="D18" s="24">
        <v>4</v>
      </c>
      <c r="E18" s="24"/>
      <c r="F18" s="24"/>
      <c r="G18" s="24"/>
      <c r="H18" s="24"/>
      <c r="I18" s="24"/>
      <c r="J18" s="24">
        <v>4</v>
      </c>
      <c r="K18" s="24"/>
      <c r="L18" s="24"/>
      <c r="M18" s="24"/>
      <c r="N18" s="28">
        <f t="shared" si="1"/>
        <v>8</v>
      </c>
    </row>
    <row r="19" spans="1:14" ht="15.6">
      <c r="A19" s="25" t="s">
        <v>109</v>
      </c>
      <c r="B19" s="33"/>
      <c r="C19" s="24"/>
      <c r="D19" s="24"/>
      <c r="E19" s="24"/>
      <c r="F19" s="24">
        <v>3.88</v>
      </c>
      <c r="G19" s="24"/>
      <c r="H19" s="24"/>
      <c r="I19" s="24"/>
      <c r="J19" s="24"/>
      <c r="K19" s="24"/>
      <c r="L19" s="24">
        <v>3.88</v>
      </c>
      <c r="M19" s="24"/>
      <c r="N19" s="28">
        <f t="shared" si="1"/>
        <v>7.76</v>
      </c>
    </row>
    <row r="20" spans="1:14" ht="15.6">
      <c r="A20" s="25" t="s">
        <v>110</v>
      </c>
      <c r="B20" s="33"/>
      <c r="C20" s="24"/>
      <c r="D20" s="24"/>
      <c r="E20" s="24"/>
      <c r="F20" s="24"/>
      <c r="G20" s="24">
        <v>6.36</v>
      </c>
      <c r="H20" s="24"/>
      <c r="I20" s="24"/>
      <c r="J20" s="24"/>
      <c r="K20" s="24"/>
      <c r="L20" s="24"/>
      <c r="M20" s="24">
        <v>2.14</v>
      </c>
      <c r="N20" s="28">
        <f t="shared" si="1"/>
        <v>8.5</v>
      </c>
    </row>
    <row r="21" spans="1:14" ht="15.6">
      <c r="A21" s="25" t="s">
        <v>111</v>
      </c>
      <c r="B21" s="33"/>
      <c r="C21" s="24"/>
      <c r="D21" s="24"/>
      <c r="E21" s="24"/>
      <c r="F21" s="24"/>
      <c r="G21" s="24">
        <v>4.88</v>
      </c>
      <c r="H21" s="24"/>
      <c r="I21" s="24"/>
      <c r="J21" s="24"/>
      <c r="K21" s="24"/>
      <c r="L21" s="24"/>
      <c r="M21" s="24">
        <v>4.88</v>
      </c>
      <c r="N21" s="28"/>
    </row>
    <row r="22" spans="1:14" ht="15.6">
      <c r="A22" s="40" t="s">
        <v>242</v>
      </c>
      <c r="B22" s="27">
        <f t="shared" ref="B22:N22" si="2">+SUM(B10:B20)</f>
        <v>17.43</v>
      </c>
      <c r="C22" s="27">
        <f t="shared" si="2"/>
        <v>0</v>
      </c>
      <c r="D22" s="27">
        <f t="shared" si="2"/>
        <v>8.379999999999999</v>
      </c>
      <c r="E22" s="27">
        <f t="shared" si="2"/>
        <v>0</v>
      </c>
      <c r="F22" s="27">
        <f t="shared" si="2"/>
        <v>12.57</v>
      </c>
      <c r="G22" s="27">
        <f t="shared" si="2"/>
        <v>10.41</v>
      </c>
      <c r="H22" s="27">
        <f t="shared" si="2"/>
        <v>17.399999999999999</v>
      </c>
      <c r="I22" s="27">
        <f t="shared" si="2"/>
        <v>0</v>
      </c>
      <c r="J22" s="27">
        <f t="shared" si="2"/>
        <v>8.379999999999999</v>
      </c>
      <c r="K22" s="27">
        <f t="shared" si="2"/>
        <v>0</v>
      </c>
      <c r="L22" s="27">
        <f t="shared" si="2"/>
        <v>12.57</v>
      </c>
      <c r="M22" s="27">
        <f t="shared" si="2"/>
        <v>6.1899999999999995</v>
      </c>
      <c r="N22" s="27">
        <f t="shared" si="2"/>
        <v>93.33</v>
      </c>
    </row>
    <row r="23" spans="1:14" ht="10.15" customHeight="1">
      <c r="A23" s="26"/>
      <c r="B23" s="24"/>
      <c r="C23" s="24"/>
      <c r="D23" s="24"/>
      <c r="E23" s="24"/>
      <c r="F23" s="24"/>
      <c r="G23" s="24"/>
      <c r="H23" s="24"/>
      <c r="I23" s="24"/>
      <c r="J23" s="24"/>
      <c r="K23" s="24"/>
      <c r="L23" s="24"/>
      <c r="M23" s="24"/>
      <c r="N23" s="24"/>
    </row>
    <row r="24" spans="1:14" ht="15.6">
      <c r="A24" s="32" t="s">
        <v>216</v>
      </c>
      <c r="B24" s="31"/>
      <c r="C24" s="31"/>
      <c r="D24" s="30"/>
      <c r="E24" s="30"/>
      <c r="F24" s="30"/>
      <c r="G24" s="30"/>
      <c r="H24" s="30"/>
      <c r="I24" s="30"/>
      <c r="J24" s="30"/>
      <c r="K24" s="30"/>
      <c r="L24" s="30"/>
      <c r="M24" s="30"/>
      <c r="N24" s="29" t="s">
        <v>240</v>
      </c>
    </row>
    <row r="25" spans="1:14" ht="15.6">
      <c r="A25" s="25" t="s">
        <v>107</v>
      </c>
      <c r="B25" s="24"/>
      <c r="C25" s="24"/>
      <c r="D25" s="24">
        <v>4.38</v>
      </c>
      <c r="E25" s="24"/>
      <c r="F25" s="24"/>
      <c r="G25" s="24"/>
      <c r="H25" s="24"/>
      <c r="I25" s="24"/>
      <c r="J25" s="24">
        <v>4.38</v>
      </c>
      <c r="K25" s="24"/>
      <c r="L25" s="24"/>
      <c r="M25" s="24"/>
      <c r="N25" s="28">
        <f t="shared" ref="N25:N31" si="3">+SUM(B25:M25)</f>
        <v>8.76</v>
      </c>
    </row>
    <row r="26" spans="1:14" ht="15.6">
      <c r="A26" s="25" t="s">
        <v>108</v>
      </c>
      <c r="B26" s="24"/>
      <c r="C26" s="24"/>
      <c r="D26" s="24">
        <v>4</v>
      </c>
      <c r="E26" s="24"/>
      <c r="F26" s="24"/>
      <c r="G26" s="24"/>
      <c r="H26" s="24"/>
      <c r="I26" s="24"/>
      <c r="J26" s="24">
        <v>4</v>
      </c>
      <c r="K26" s="24"/>
      <c r="L26" s="24"/>
      <c r="M26" s="24"/>
      <c r="N26" s="28">
        <f t="shared" si="3"/>
        <v>8</v>
      </c>
    </row>
    <row r="27" spans="1:14" ht="15.6">
      <c r="A27" s="25" t="s">
        <v>219</v>
      </c>
      <c r="B27" s="24"/>
      <c r="C27" s="24"/>
      <c r="D27" s="24"/>
      <c r="E27" s="24"/>
      <c r="F27" s="24">
        <v>3.81</v>
      </c>
      <c r="G27" s="24"/>
      <c r="H27" s="24"/>
      <c r="I27" s="24"/>
      <c r="J27" s="24"/>
      <c r="K27" s="24"/>
      <c r="L27" s="24">
        <v>3.81</v>
      </c>
      <c r="M27" s="24"/>
      <c r="N27" s="28">
        <f t="shared" si="3"/>
        <v>7.62</v>
      </c>
    </row>
    <row r="28" spans="1:14" ht="15.6">
      <c r="A28" s="25" t="s">
        <v>220</v>
      </c>
      <c r="B28" s="24"/>
      <c r="C28" s="24"/>
      <c r="D28" s="24"/>
      <c r="E28" s="24"/>
      <c r="F28" s="24">
        <v>3.88</v>
      </c>
      <c r="G28" s="24"/>
      <c r="H28" s="24"/>
      <c r="I28" s="24"/>
      <c r="J28" s="24"/>
      <c r="K28" s="24"/>
      <c r="L28" s="24">
        <v>3.88</v>
      </c>
      <c r="M28" s="24"/>
      <c r="N28" s="28">
        <f t="shared" si="3"/>
        <v>7.76</v>
      </c>
    </row>
    <row r="29" spans="1:14" ht="15.6">
      <c r="A29" s="25" t="s">
        <v>106</v>
      </c>
      <c r="B29" s="24"/>
      <c r="C29" s="24"/>
      <c r="D29" s="24"/>
      <c r="E29" s="24"/>
      <c r="F29" s="24">
        <v>4.0599999999999996</v>
      </c>
      <c r="G29" s="24"/>
      <c r="H29" s="24"/>
      <c r="I29" s="24"/>
      <c r="J29" s="24"/>
      <c r="K29" s="24"/>
      <c r="L29" s="24">
        <v>4.0599999999999996</v>
      </c>
      <c r="M29" s="24"/>
      <c r="N29" s="28">
        <f t="shared" si="3"/>
        <v>8.1199999999999992</v>
      </c>
    </row>
    <row r="30" spans="1:14" ht="15.6">
      <c r="A30" s="25" t="s">
        <v>109</v>
      </c>
      <c r="B30" s="24"/>
      <c r="C30" s="24"/>
      <c r="D30" s="24">
        <v>4</v>
      </c>
      <c r="E30" s="24"/>
      <c r="F30" s="24"/>
      <c r="G30" s="24"/>
      <c r="H30" s="24"/>
      <c r="I30" s="24"/>
      <c r="J30" s="24">
        <v>4</v>
      </c>
      <c r="K30" s="24"/>
      <c r="L30" s="24"/>
      <c r="M30" s="24"/>
      <c r="N30" s="28">
        <f t="shared" si="3"/>
        <v>8</v>
      </c>
    </row>
    <row r="31" spans="1:14" ht="15.6">
      <c r="A31" s="25" t="s">
        <v>105</v>
      </c>
      <c r="B31" s="24"/>
      <c r="C31" s="24"/>
      <c r="D31" s="24"/>
      <c r="E31" s="24"/>
      <c r="F31" s="24">
        <v>4.63</v>
      </c>
      <c r="G31" s="24"/>
      <c r="I31" s="24"/>
      <c r="J31" s="24"/>
      <c r="K31" s="24"/>
      <c r="L31" s="24">
        <v>4.63</v>
      </c>
      <c r="M31" s="24"/>
      <c r="N31" s="28">
        <f t="shared" si="3"/>
        <v>9.26</v>
      </c>
    </row>
    <row r="32" spans="1:14" ht="15.6">
      <c r="A32" s="40" t="s">
        <v>242</v>
      </c>
      <c r="B32" s="27">
        <f t="shared" ref="B32:N32" si="4">+SUM(B25:B31)</f>
        <v>0</v>
      </c>
      <c r="C32" s="27">
        <f t="shared" si="4"/>
        <v>0</v>
      </c>
      <c r="D32" s="27">
        <f t="shared" si="4"/>
        <v>12.379999999999999</v>
      </c>
      <c r="E32" s="27">
        <f t="shared" si="4"/>
        <v>0</v>
      </c>
      <c r="F32" s="27">
        <f t="shared" si="4"/>
        <v>16.38</v>
      </c>
      <c r="G32" s="27">
        <f t="shared" si="4"/>
        <v>0</v>
      </c>
      <c r="H32" s="27">
        <f t="shared" si="4"/>
        <v>0</v>
      </c>
      <c r="I32" s="27">
        <f t="shared" si="4"/>
        <v>0</v>
      </c>
      <c r="J32" s="27">
        <f t="shared" si="4"/>
        <v>12.379999999999999</v>
      </c>
      <c r="K32" s="27">
        <f t="shared" si="4"/>
        <v>0</v>
      </c>
      <c r="L32" s="27">
        <f t="shared" si="4"/>
        <v>16.38</v>
      </c>
      <c r="M32" s="27">
        <f t="shared" si="4"/>
        <v>0</v>
      </c>
      <c r="N32" s="27">
        <f t="shared" si="4"/>
        <v>57.519999999999996</v>
      </c>
    </row>
    <row r="33" spans="1:14" ht="10.15" customHeight="1">
      <c r="A33" s="26"/>
      <c r="B33" s="24"/>
      <c r="C33" s="24"/>
      <c r="D33" s="24"/>
      <c r="E33" s="24"/>
      <c r="F33" s="24"/>
      <c r="G33" s="24"/>
      <c r="H33" s="24"/>
      <c r="I33" s="24"/>
      <c r="J33" s="24"/>
      <c r="K33" s="24"/>
      <c r="L33" s="24"/>
      <c r="M33" s="24"/>
      <c r="N33" s="24"/>
    </row>
    <row r="34" spans="1:14" ht="15.6">
      <c r="A34" s="25" t="s">
        <v>244</v>
      </c>
      <c r="B34" s="24"/>
      <c r="C34" s="24"/>
      <c r="D34" s="24"/>
      <c r="E34" s="24"/>
      <c r="F34" s="24"/>
      <c r="G34" s="24"/>
      <c r="H34" s="24"/>
      <c r="I34" s="24"/>
      <c r="J34" s="24"/>
      <c r="K34" s="24"/>
      <c r="L34" s="24"/>
      <c r="M34" s="24"/>
      <c r="N34" s="23"/>
    </row>
    <row r="35" spans="1:14">
      <c r="A35" s="22"/>
      <c r="B35" s="22"/>
      <c r="C35" s="22"/>
      <c r="D35" s="22"/>
      <c r="E35" s="22"/>
      <c r="F35" s="22"/>
      <c r="G35" s="22"/>
      <c r="H35" s="22"/>
      <c r="I35" s="22"/>
      <c r="J35" s="22"/>
      <c r="K35" s="22"/>
      <c r="L35" s="22"/>
      <c r="M35" s="22"/>
      <c r="N35" s="22"/>
    </row>
  </sheetData>
  <sheetProtection algorithmName="SHA-512" hashValue="Z1h2SUDoEwhiHrxkcCLg949kYB+evqkb2U35hvfEs5x9h+rlf4c1bDTJWDEeNqIclF+dNh1/fFJ/rPtV2nZUSg==" saltValue="AU2T3QUN2bn1VjSl9a5aXg=="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FBE8-361D-41A7-BD43-ED801EFC7637}">
  <dimension ref="B2:H57"/>
  <sheetViews>
    <sheetView showGridLines="0" topLeftCell="A43" workbookViewId="0">
      <selection activeCell="B65" sqref="B65"/>
    </sheetView>
  </sheetViews>
  <sheetFormatPr defaultColWidth="9.140625" defaultRowHeight="14.45"/>
  <cols>
    <col min="1" max="1" width="6.28515625" customWidth="1"/>
    <col min="2" max="2" width="16.28515625" style="41" customWidth="1"/>
    <col min="3" max="3" width="13.140625" style="41" customWidth="1"/>
    <col min="4" max="4" width="61" bestFit="1" customWidth="1"/>
    <col min="5" max="5" width="83" style="41" customWidth="1"/>
    <col min="6" max="6" width="27.140625" bestFit="1" customWidth="1"/>
    <col min="7" max="7" width="15.5703125" bestFit="1" customWidth="1"/>
    <col min="8" max="8" width="10.5703125" bestFit="1" customWidth="1"/>
  </cols>
  <sheetData>
    <row r="2" spans="2:8" s="44" customFormat="1" ht="15.6">
      <c r="B2" s="56" t="s">
        <v>245</v>
      </c>
      <c r="C2" s="57" t="s">
        <v>123</v>
      </c>
      <c r="D2" s="57" t="s">
        <v>246</v>
      </c>
      <c r="E2" s="57" t="s">
        <v>247</v>
      </c>
      <c r="F2" s="57" t="s">
        <v>248</v>
      </c>
      <c r="G2" s="57" t="s">
        <v>124</v>
      </c>
      <c r="H2" s="78" t="s">
        <v>125</v>
      </c>
    </row>
    <row r="3" spans="2:8" s="44" customFormat="1" ht="16.5" customHeight="1">
      <c r="B3" s="150" t="s">
        <v>179</v>
      </c>
      <c r="C3" s="54" t="s">
        <v>68</v>
      </c>
      <c r="D3" t="e" vm="60">
        <v>#VALUE!</v>
      </c>
      <c r="E3" s="84" t="s">
        <v>249</v>
      </c>
      <c r="F3" s="119" cm="1">
        <f t="array" aca="1" ref="F3" ca="1">IFERROR(_FV(D3,"Capitalización de mercado",TRUE),"Sin Datos")</f>
        <v>148228262258.13</v>
      </c>
      <c r="G3" s="121" cm="1">
        <f t="array" aca="1" ref="G3" ca="1">IFERROR(_FV(D3,"Precio"),"Sin Datos")</f>
        <v>422.23</v>
      </c>
      <c r="H3" s="116" cm="1">
        <f t="array" aca="1" ref="H3" ca="1">IFERROR(_FV(D3,"Cambio (%)",TRUE),"Sin Datos")</f>
        <v>0</v>
      </c>
    </row>
    <row r="4" spans="2:8" ht="16.5" customHeight="1">
      <c r="B4" s="151"/>
      <c r="C4" s="54" t="s">
        <v>250</v>
      </c>
      <c r="D4" t="e" vm="61">
        <v>#VALUE!</v>
      </c>
      <c r="E4" s="84" t="s">
        <v>251</v>
      </c>
      <c r="F4" s="119" cm="1">
        <f t="array" aca="1" ref="F4" ca="1">IFERROR(_FV(D4,"Capitalización de mercado",TRUE),"Sin Datos")</f>
        <v>112248100000</v>
      </c>
      <c r="G4" s="121" cm="1">
        <f t="array" aca="1" ref="G4" ca="1">IFERROR(_FV(D4,"Precio"),"Sin Datos")</f>
        <v>49.03</v>
      </c>
      <c r="H4" s="116" cm="1">
        <f t="array" aca="1" ref="H4" ca="1">IFERROR(_FV(D4,"Cambio (%)",TRUE),"Sin Datos")</f>
        <v>2.5517999999999999E-2</v>
      </c>
    </row>
    <row r="5" spans="2:8" ht="16.5" customHeight="1">
      <c r="B5" s="151"/>
      <c r="C5" s="54" t="s">
        <v>252</v>
      </c>
      <c r="D5" t="e" vm="62">
        <v>#VALUE!</v>
      </c>
      <c r="E5" s="84" t="s">
        <v>253</v>
      </c>
      <c r="F5" s="119" cm="1">
        <f t="array" aca="1" ref="F5" ca="1">IFERROR(_FV(D5,"Capitalización de mercado",TRUE),"Sin Datos")</f>
        <v>118936800000</v>
      </c>
      <c r="G5" s="121" cm="1">
        <f t="array" aca="1" ref="G5" ca="1">IFERROR(_FV(D5,"Precio"),"Sin Datos")</f>
        <v>112.9</v>
      </c>
      <c r="H5" s="116" cm="1">
        <f t="array" aca="1" ref="H5" ca="1">IFERROR(_FV(D5,"Cambio (%)",TRUE),"Sin Datos")</f>
        <v>3.5874999999999997E-2</v>
      </c>
    </row>
    <row r="6" spans="2:8" ht="16.5" customHeight="1">
      <c r="B6" s="151"/>
      <c r="C6" s="54" t="s">
        <v>254</v>
      </c>
      <c r="D6" t="e" vm="63">
        <v>#VALUE!</v>
      </c>
      <c r="E6" s="84" t="s">
        <v>255</v>
      </c>
      <c r="F6" s="119" cm="1">
        <f t="array" aca="1" ref="F6" ca="1">IFERROR(_FV(D6,"Capitalización de mercado",TRUE),"Sin Datos")</f>
        <v>52645260000</v>
      </c>
      <c r="G6" s="121" cm="1">
        <f t="array" aca="1" ref="G6" ca="1">IFERROR(_FV(D6,"Precio"),"Sin Datos")</f>
        <v>32.94</v>
      </c>
      <c r="H6" s="116" cm="1">
        <f t="array" aca="1" ref="H6" ca="1">IFERROR(_FV(D6,"Cambio (%)",TRUE),"Sin Datos")</f>
        <v>5.4417E-2</v>
      </c>
    </row>
    <row r="7" spans="2:8" ht="16.5" customHeight="1">
      <c r="B7" s="151"/>
      <c r="C7" s="54" t="s">
        <v>256</v>
      </c>
      <c r="D7" t="e" vm="64">
        <v>#VALUE!</v>
      </c>
      <c r="E7" s="84" t="s">
        <v>257</v>
      </c>
      <c r="F7" s="119" cm="1">
        <f t="array" aca="1" ref="F7" ca="1">IFERROR(_FV(D7,"Capitalización de mercado",TRUE),"Sin Datos")</f>
        <v>133879700000</v>
      </c>
      <c r="G7" s="121" cm="1">
        <f t="array" aca="1" ref="G7" ca="1">IFERROR(_FV(D7,"Precio"),"Sin Datos")</f>
        <v>194.39</v>
      </c>
      <c r="H7" s="116" cm="1">
        <f t="array" aca="1" ref="H7" ca="1">IFERROR(_FV(D7,"Cambio (%)",TRUE),"Sin Datos")</f>
        <v>1.7003000000000001E-2</v>
      </c>
    </row>
    <row r="8" spans="2:8" ht="16.5" customHeight="1">
      <c r="B8" s="151"/>
      <c r="C8" s="54" t="s">
        <v>258</v>
      </c>
      <c r="D8" t="e" vm="65">
        <v>#VALUE!</v>
      </c>
      <c r="E8" s="84" t="s">
        <v>259</v>
      </c>
      <c r="F8" s="119" cm="1">
        <f t="array" aca="1" ref="F8" ca="1">IFERROR(_FV(D8,"Capitalización de mercado",TRUE),"Sin Datos")</f>
        <v>25801219815.369999</v>
      </c>
      <c r="G8" s="121" cm="1">
        <f t="array" aca="1" ref="G8" ca="1">IFERROR(_FV(D8,"Precio"),"Sin Datos")</f>
        <v>95.72</v>
      </c>
      <c r="H8" s="116" cm="1">
        <f t="array" aca="1" ref="H8" ca="1">IFERROR(_FV(D8,"Cambio (%)",TRUE),"Sin Datos")</f>
        <v>3.4140000000000004E-2</v>
      </c>
    </row>
    <row r="9" spans="2:8" ht="16.5" customHeight="1">
      <c r="B9" s="151"/>
      <c r="C9" s="54" t="s">
        <v>260</v>
      </c>
      <c r="D9" t="e" vm="66">
        <v>#VALUE!</v>
      </c>
      <c r="E9" s="84" t="s">
        <v>261</v>
      </c>
      <c r="F9" s="119" cm="1">
        <f t="array" aca="1" ref="F9" ca="1">IFERROR(_FV(D9,"Capitalización de mercado",TRUE),"Sin Datos")</f>
        <v>13097200000</v>
      </c>
      <c r="G9" s="122" cm="1">
        <f t="array" aca="1" ref="G9" ca="1">IFERROR(_FV(D9,"Precio"),"Sin Datos")</f>
        <v>22.29</v>
      </c>
      <c r="H9" s="117" cm="1">
        <f t="array" aca="1" ref="H9" ca="1">IFERROR(_FV(D9,"Cambio (%)",TRUE),"Sin Datos")</f>
        <v>7.7331999999999998E-2</v>
      </c>
    </row>
    <row r="10" spans="2:8" ht="16.5" customHeight="1">
      <c r="B10" s="152" t="s">
        <v>180</v>
      </c>
      <c r="C10" s="75" t="s">
        <v>181</v>
      </c>
      <c r="D10" s="76" t="e" vm="67">
        <v>#VALUE!</v>
      </c>
      <c r="E10" s="85" t="s">
        <v>262</v>
      </c>
      <c r="F10" s="120" cm="1">
        <f t="array" aca="1" ref="F10" ca="1">IFERROR(_FV(D10,"Capitalización de mercado",TRUE),"Sin Datos")</f>
        <v>38046290507.760002</v>
      </c>
      <c r="G10" s="121" cm="1">
        <f t="array" aca="1" ref="G10" ca="1">IFERROR(_FV(D10,"Precio"),"Sin Datos")</f>
        <v>77.23</v>
      </c>
      <c r="H10" s="116" cm="1">
        <f t="array" aca="1" ref="H10" ca="1">IFERROR(_FV(D10,"Cambio (%)",TRUE),"Sin Datos")</f>
        <v>0</v>
      </c>
    </row>
    <row r="11" spans="2:8" ht="18" customHeight="1">
      <c r="B11" s="152"/>
      <c r="C11" s="54" t="s">
        <v>263</v>
      </c>
      <c r="D11" t="e" vm="68">
        <v>#VALUE!</v>
      </c>
      <c r="E11" s="84" t="s">
        <v>264</v>
      </c>
      <c r="F11" s="119" cm="1">
        <f t="array" aca="1" ref="F11" ca="1">IFERROR(_FV(D11,"Capitalización de mercado",TRUE),"Sin Datos")</f>
        <v>31982950000</v>
      </c>
      <c r="G11" s="121" cm="1">
        <f t="array" aca="1" ref="G11" ca="1">IFERROR(_FV(D11,"Precio"),"Sin Datos")</f>
        <v>55.72</v>
      </c>
      <c r="H11" s="116" cm="1">
        <f t="array" aca="1" ref="H11" ca="1">IFERROR(_FV(D11,"Cambio (%)",TRUE),"Sin Datos")</f>
        <v>2.6718000000000002E-2</v>
      </c>
    </row>
    <row r="12" spans="2:8" ht="18" customHeight="1">
      <c r="B12" s="152"/>
      <c r="C12" s="54" t="s">
        <v>265</v>
      </c>
      <c r="D12" t="e" vm="69">
        <v>#VALUE!</v>
      </c>
      <c r="E12" s="84" t="s">
        <v>266</v>
      </c>
      <c r="F12" s="119" cm="1">
        <f t="array" aca="1" ref="F12" ca="1">IFERROR(_FV(D12,"Capitalización de mercado",TRUE),"Sin Datos")</f>
        <v>15043710000</v>
      </c>
      <c r="G12" s="121" cm="1">
        <f t="array" aca="1" ref="G12" ca="1">IFERROR(_FV(D12,"Precio"),"Sin Datos")</f>
        <v>24.46</v>
      </c>
      <c r="H12" s="116" cm="1">
        <f t="array" aca="1" ref="H12" ca="1">IFERROR(_FV(D12,"Cambio (%)",TRUE),"Sin Datos")</f>
        <v>8.9532E-2</v>
      </c>
    </row>
    <row r="13" spans="2:8" ht="18" customHeight="1">
      <c r="B13" s="152"/>
      <c r="C13" s="54" t="s">
        <v>267</v>
      </c>
      <c r="D13" t="e" vm="70">
        <v>#VALUE!</v>
      </c>
      <c r="E13" s="84" t="s">
        <v>268</v>
      </c>
      <c r="F13" s="119" cm="1">
        <f t="array" aca="1" ref="F13" ca="1">IFERROR(_FV(D13,"Capitalización de mercado",TRUE),"Sin Datos")</f>
        <v>13098970000</v>
      </c>
      <c r="G13" s="122" cm="1">
        <f t="array" aca="1" ref="G13" ca="1">IFERROR(_FV(D13,"Precio"),"Sin Datos")</f>
        <v>21.585000000000001</v>
      </c>
      <c r="H13" s="117" cm="1">
        <f t="array" aca="1" ref="H13" ca="1">IFERROR(_FV(D13,"Cambio (%)",TRUE),"Sin Datos")</f>
        <v>5.8088000000000001E-2</v>
      </c>
    </row>
    <row r="14" spans="2:8" ht="18" customHeight="1">
      <c r="B14" s="153" t="s">
        <v>183</v>
      </c>
      <c r="C14" s="75" t="s">
        <v>269</v>
      </c>
      <c r="D14" s="76" t="e" vm="71">
        <v>#VALUE!</v>
      </c>
      <c r="E14" s="85" t="s">
        <v>270</v>
      </c>
      <c r="F14" s="120" cm="1">
        <f t="array" aca="1" ref="F14" ca="1">IFERROR(_FV(D14,"Capitalización de mercado",TRUE),"Sin Datos")</f>
        <v>4685828237.2200003</v>
      </c>
      <c r="G14" s="121" cm="1">
        <f t="array" aca="1" ref="G14" ca="1">IFERROR(_FV(D14,"Precio"),"Sin Datos")</f>
        <v>80.069999999999993</v>
      </c>
      <c r="H14" s="116" cm="1">
        <f t="array" aca="1" ref="H14" ca="1">IFERROR(_FV(D14,"Cambio (%)",TRUE),"Sin Datos")</f>
        <v>0</v>
      </c>
    </row>
    <row r="15" spans="2:8" ht="16.5" customHeight="1">
      <c r="B15" s="153"/>
      <c r="C15" s="54" t="s">
        <v>271</v>
      </c>
      <c r="D15" t="e" vm="72">
        <v>#VALUE!</v>
      </c>
      <c r="E15" s="84" t="s">
        <v>272</v>
      </c>
      <c r="F15" s="119" cm="1">
        <f t="array" aca="1" ref="F15" ca="1">IFERROR(_FV(D15,"Capitalización de mercado",TRUE),"Sin Datos")</f>
        <v>84303509010</v>
      </c>
      <c r="G15" s="121" cm="1">
        <f t="array" aca="1" ref="G15" ca="1">IFERROR(_FV(D15,"Precio"),"Sin Datos")</f>
        <v>58.71</v>
      </c>
      <c r="H15" s="116" cm="1">
        <f t="array" aca="1" ref="H15" ca="1">IFERROR(_FV(D15,"Cambio (%)",TRUE),"Sin Datos")</f>
        <v>3.8564000000000001E-2</v>
      </c>
    </row>
    <row r="16" spans="2:8" ht="16.5" customHeight="1">
      <c r="B16" s="153"/>
      <c r="C16" s="54" t="s">
        <v>273</v>
      </c>
      <c r="D16" t="e" vm="73">
        <v>#VALUE!</v>
      </c>
      <c r="E16" s="84" t="s">
        <v>274</v>
      </c>
      <c r="F16" s="119" cm="1">
        <f t="array" aca="1" ref="F16" ca="1">IFERROR(_FV(D16,"Capitalización de mercado",TRUE),"Sin Datos")</f>
        <v>144275481370</v>
      </c>
      <c r="G16" s="122" cm="1">
        <f t="array" aca="1" ref="G16" ca="1">IFERROR(_FV(D16,"Precio"),"Sin Datos")</f>
        <v>176.14</v>
      </c>
      <c r="H16" s="117" cm="1">
        <f t="array" aca="1" ref="H16" ca="1">IFERROR(_FV(D16,"Cambio (%)",TRUE),"Sin Datos")</f>
        <v>3.2958000000000001E-2</v>
      </c>
    </row>
    <row r="17" spans="2:8" ht="16.5" customHeight="1">
      <c r="B17" s="157" t="s">
        <v>185</v>
      </c>
      <c r="C17" s="75" t="s">
        <v>275</v>
      </c>
      <c r="D17" s="76" t="e" vm="74">
        <v>#VALUE!</v>
      </c>
      <c r="E17" s="85" t="s">
        <v>276</v>
      </c>
      <c r="F17" s="120" cm="1">
        <f t="array" aca="1" ref="F17" ca="1">IFERROR(_FV(D17,"Capitalización de mercado",TRUE),"Sin Datos")</f>
        <v>1133423000</v>
      </c>
      <c r="G17" s="121" cm="1">
        <f t="array" aca="1" ref="G17" ca="1">IFERROR(_FV(D17,"Precio"),"Sin Datos")</f>
        <v>7.4850000000000003</v>
      </c>
      <c r="H17" s="116" cm="1">
        <f t="array" aca="1" ref="H17" ca="1">IFERROR(_FV(D17,"Cambio (%)",TRUE),"Sin Datos")</f>
        <v>7.2349999999999998E-2</v>
      </c>
    </row>
    <row r="18" spans="2:8" ht="16.5" customHeight="1">
      <c r="B18" s="157"/>
      <c r="C18" s="54" t="s">
        <v>277</v>
      </c>
      <c r="D18" t="e" vm="75">
        <v>#VALUE!</v>
      </c>
      <c r="E18" s="84" t="s">
        <v>278</v>
      </c>
      <c r="F18" s="119" cm="1">
        <f t="array" aca="1" ref="F18" ca="1">IFERROR(_FV(D18,"Capitalización de mercado",TRUE),"Sin Datos")</f>
        <v>1812143581</v>
      </c>
      <c r="G18" s="121" cm="1">
        <f t="array" aca="1" ref="G18" ca="1">IFERROR(_FV(D18,"Precio"),"Sin Datos")</f>
        <v>5.7649999999999997</v>
      </c>
      <c r="H18" s="116" cm="1">
        <f t="array" aca="1" ref="H18" ca="1">IFERROR(_FV(D18,"Cambio (%)",TRUE),"Sin Datos")</f>
        <v>6.9572999999999996E-2</v>
      </c>
    </row>
    <row r="19" spans="2:8" ht="16.5" customHeight="1">
      <c r="B19" s="157"/>
      <c r="C19" s="54" t="s">
        <v>186</v>
      </c>
      <c r="D19" t="e" vm="76">
        <v>#VALUE!</v>
      </c>
      <c r="E19" s="84" t="s">
        <v>279</v>
      </c>
      <c r="F19" s="119" t="str" cm="1">
        <f t="array" ref="F19">IFERROR(_FV(D19,"Capitalización de mercado",TRUE),"Sin Datos")</f>
        <v>Sin Datos</v>
      </c>
      <c r="G19" s="122" t="str" cm="1">
        <f t="array" ref="G19">IFERROR(_FV(D19,"Precio"),"Sin Datos")</f>
        <v>Sin Datos</v>
      </c>
      <c r="H19" s="117" t="str" cm="1">
        <f t="array" ref="H19">IFERROR(_FV(D19,"Cambio (%)",TRUE),"Sin Datos")</f>
        <v>Sin Datos</v>
      </c>
    </row>
    <row r="20" spans="2:8" ht="16.5" customHeight="1">
      <c r="B20" s="156" t="s">
        <v>280</v>
      </c>
      <c r="C20" s="75" t="s">
        <v>281</v>
      </c>
      <c r="D20" s="76" t="e" vm="77">
        <v>#VALUE!</v>
      </c>
      <c r="E20" s="85" t="s">
        <v>282</v>
      </c>
      <c r="F20" s="120" cm="1">
        <f t="array" aca="1" ref="F20" ca="1">IFERROR(_FV(D20,"Capitalización de mercado",TRUE),"Sin Datos")</f>
        <v>523055098980</v>
      </c>
      <c r="G20" s="121" cm="1">
        <f t="array" aca="1" ref="G20" ca="1">IFERROR(_FV(D20,"Precio"),"Sin Datos")</f>
        <v>124.03</v>
      </c>
      <c r="H20" s="116" cm="1">
        <f t="array" aca="1" ref="H20" ca="1">IFERROR(_FV(D20,"Cambio (%)",TRUE),"Sin Datos")</f>
        <v>-4.6550000000000003E-3</v>
      </c>
    </row>
    <row r="21" spans="2:8" ht="16.5" customHeight="1">
      <c r="B21" s="156"/>
      <c r="C21" s="54" t="s">
        <v>283</v>
      </c>
      <c r="D21" t="e" vm="78">
        <v>#VALUE!</v>
      </c>
      <c r="E21" s="84" t="s">
        <v>284</v>
      </c>
      <c r="F21" s="119" cm="1">
        <f t="array" aca="1" ref="F21" ca="1">IFERROR(_FV(D21,"Capitalización de mercado",TRUE),"Sin Datos")</f>
        <v>326875161480</v>
      </c>
      <c r="G21" s="121" cm="1">
        <f t="array" aca="1" ref="G21" ca="1">IFERROR(_FV(D21,"Precio"),"Sin Datos")</f>
        <v>162.34</v>
      </c>
      <c r="H21" s="116" cm="1">
        <f t="array" aca="1" ref="H21" ca="1">IFERROR(_FV(D21,"Cambio (%)",TRUE),"Sin Datos")</f>
        <v>1.4189999999999999E-3</v>
      </c>
    </row>
    <row r="22" spans="2:8" ht="16.5" customHeight="1">
      <c r="B22" s="156"/>
      <c r="C22" s="54" t="s">
        <v>285</v>
      </c>
      <c r="D22" t="e" vm="79">
        <v>#VALUE!</v>
      </c>
      <c r="E22" s="84" t="s">
        <v>286</v>
      </c>
      <c r="F22" s="119" cm="1">
        <f t="array" aca="1" ref="F22" ca="1">IFERROR(_FV(D22,"Capitalización de mercado",TRUE),"Sin Datos")</f>
        <v>202508200000</v>
      </c>
      <c r="G22" s="121" cm="1">
        <f t="array" aca="1" ref="G22" ca="1">IFERROR(_FV(D22,"Precio"),"Sin Datos")</f>
        <v>71.64</v>
      </c>
      <c r="H22" s="116" cm="1">
        <f t="array" aca="1" ref="H22" ca="1">IFERROR(_FV(D22,"Cambio (%)",TRUE),"Sin Datos")</f>
        <v>1.1436E-2</v>
      </c>
    </row>
    <row r="23" spans="2:8" ht="14.45" customHeight="1">
      <c r="B23" s="156"/>
      <c r="C23" s="54" t="s">
        <v>62</v>
      </c>
      <c r="D23" t="e" vm="80">
        <v>#VALUE!</v>
      </c>
      <c r="E23" s="84" t="s">
        <v>287</v>
      </c>
      <c r="F23" s="119" cm="1">
        <f t="array" aca="1" ref="F23" ca="1">IFERROR(_FV(D23,"Capitalización de mercado",TRUE),"Sin Datos")</f>
        <v>26484196626.900002</v>
      </c>
      <c r="G23" s="121" cm="1">
        <f t="array" aca="1" ref="G23" ca="1">IFERROR(_FV(D23,"Precio"),"Sin Datos")</f>
        <v>46.34</v>
      </c>
      <c r="H23" s="116" cm="1">
        <f t="array" aca="1" ref="H23" ca="1">IFERROR(_FV(D23,"Cambio (%)",TRUE),"Sin Datos")</f>
        <v>-7.0709999999999992E-3</v>
      </c>
    </row>
    <row r="24" spans="2:8" ht="16.5" customHeight="1">
      <c r="B24" s="156"/>
      <c r="C24" s="54" t="s">
        <v>150</v>
      </c>
      <c r="D24" t="e" vm="81">
        <v>#VALUE!</v>
      </c>
      <c r="E24" s="84" t="s">
        <v>288</v>
      </c>
      <c r="F24" s="119" cm="1">
        <f t="array" aca="1" ref="F24" ca="1">IFERROR(_FV(D24,"Capitalización de mercado",TRUE),"Sin Datos")</f>
        <v>5357776979.5200005</v>
      </c>
      <c r="G24" s="121" cm="1">
        <f t="array" aca="1" ref="G24" ca="1">IFERROR(_FV(D24,"Precio"),"Sin Datos")</f>
        <v>48.52</v>
      </c>
      <c r="H24" s="116" cm="1">
        <f t="array" aca="1" ref="H24" ca="1">IFERROR(_FV(D24,"Cambio (%)",TRUE),"Sin Datos")</f>
        <v>0</v>
      </c>
    </row>
    <row r="25" spans="2:8" ht="14.45" customHeight="1">
      <c r="B25" s="156"/>
      <c r="C25" s="54" t="s">
        <v>289</v>
      </c>
      <c r="D25" t="e" vm="82">
        <v>#VALUE!</v>
      </c>
      <c r="E25" s="84" t="s">
        <v>290</v>
      </c>
      <c r="F25" s="119" cm="1">
        <f t="array" aca="1" ref="F25" ca="1">IFERROR(_FV(D25,"Capitalización de mercado",TRUE),"Sin Datos")</f>
        <v>13944230000</v>
      </c>
      <c r="G25" s="121" cm="1">
        <f t="array" aca="1" ref="G25" ca="1">IFERROR(_FV(D25,"Precio"),"Sin Datos")</f>
        <v>33.814999999999998</v>
      </c>
      <c r="H25" s="116" cm="1">
        <f t="array" aca="1" ref="H25" ca="1">IFERROR(_FV(D25,"Cambio (%)",TRUE),"Sin Datos")</f>
        <v>-7.7759999999999999E-3</v>
      </c>
    </row>
    <row r="26" spans="2:8" ht="14.45" customHeight="1">
      <c r="B26" s="156"/>
      <c r="C26" s="54" t="s">
        <v>291</v>
      </c>
      <c r="D26" t="e" vm="83">
        <v>#VALUE!</v>
      </c>
      <c r="E26" s="84" t="s">
        <v>292</v>
      </c>
      <c r="F26" s="119" cm="1">
        <f t="array" aca="1" ref="F26" ca="1">IFERROR(_FV(D26,"Capitalización de mercado",TRUE),"Sin Datos")</f>
        <v>4707166000</v>
      </c>
      <c r="G26" s="121" cm="1">
        <f t="array" aca="1" ref="G26" ca="1">IFERROR(_FV(D26,"Precio"),"Sin Datos")</f>
        <v>82.55</v>
      </c>
      <c r="H26" s="116" cm="1">
        <f t="array" aca="1" ref="H26" ca="1">IFERROR(_FV(D26,"Cambio (%)",TRUE),"Sin Datos")</f>
        <v>-1.0903000000000001E-2</v>
      </c>
    </row>
    <row r="27" spans="2:8" ht="14.45" customHeight="1">
      <c r="B27" s="156"/>
      <c r="C27" s="54" t="s">
        <v>293</v>
      </c>
      <c r="D27" t="e" vm="84">
        <v>#VALUE!</v>
      </c>
      <c r="E27" s="84" t="s">
        <v>294</v>
      </c>
      <c r="F27" s="119" cm="1">
        <f t="array" aca="1" ref="F27" ca="1">IFERROR(_FV(D27,"Capitalización de mercado",TRUE),"Sin Datos")</f>
        <v>42088188288</v>
      </c>
      <c r="G27" s="121" cm="1">
        <f t="array" aca="1" ref="G27" ca="1">IFERROR(_FV(D27,"Precio"),"Sin Datos")</f>
        <v>42.72</v>
      </c>
      <c r="H27" s="116" cm="1">
        <f t="array" aca="1" ref="H27" ca="1">IFERROR(_FV(D27,"Cambio (%)",TRUE),"Sin Datos")</f>
        <v>-3.2659999999999998E-3</v>
      </c>
    </row>
    <row r="28" spans="2:8" ht="16.5" customHeight="1">
      <c r="B28" s="156"/>
      <c r="C28" s="54" t="s">
        <v>295</v>
      </c>
      <c r="D28" t="e" vm="85">
        <v>#VALUE!</v>
      </c>
      <c r="E28" s="84" t="s">
        <v>296</v>
      </c>
      <c r="F28" s="119" cm="1">
        <f t="array" aca="1" ref="F28" ca="1">IFERROR(_FV(D28,"Capitalización de mercado",TRUE),"Sin Datos")</f>
        <v>89300290000</v>
      </c>
      <c r="G28" s="121" cm="1">
        <f t="array" aca="1" ref="G28" ca="1">IFERROR(_FV(D28,"Precio"),"Sin Datos")</f>
        <v>34.409999999999997</v>
      </c>
      <c r="H28" s="116" cm="1">
        <f t="array" aca="1" ref="H28" ca="1">IFERROR(_FV(D28,"Cambio (%)",TRUE),"Sin Datos")</f>
        <v>3.4999999999999996E-3</v>
      </c>
    </row>
    <row r="29" spans="2:8" ht="16.5" customHeight="1">
      <c r="B29" s="156"/>
      <c r="C29" s="54" t="s">
        <v>297</v>
      </c>
      <c r="D29" t="e" vm="86">
        <v>#VALUE!</v>
      </c>
      <c r="E29" s="84" t="s">
        <v>298</v>
      </c>
      <c r="F29" s="119" cm="1">
        <f t="array" aca="1" ref="F29" ca="1">IFERROR(_FV(D29,"Capitalización de mercado",TRUE),"Sin Datos")</f>
        <v>141792800000</v>
      </c>
      <c r="G29" s="121" cm="1">
        <f t="array" aca="1" ref="G29" ca="1">IFERROR(_FV(D29,"Precio"),"Sin Datos")</f>
        <v>64.709999999999994</v>
      </c>
      <c r="H29" s="116" cm="1">
        <f t="array" aca="1" ref="H29" ca="1">IFERROR(_FV(D29,"Cambio (%)",TRUE),"Sin Datos")</f>
        <v>1.2201E-2</v>
      </c>
    </row>
    <row r="30" spans="2:8" ht="16.5" customHeight="1">
      <c r="B30" s="156"/>
      <c r="C30" s="54" t="s">
        <v>299</v>
      </c>
      <c r="D30" t="e" vm="87">
        <v>#VALUE!</v>
      </c>
      <c r="E30" s="84" t="s">
        <v>300</v>
      </c>
      <c r="F30" s="119" cm="1">
        <f t="array" aca="1" ref="F30" ca="1">IFERROR(_FV(D30,"Capitalización de mercado",TRUE),"Sin Datos")</f>
        <v>60863070000</v>
      </c>
      <c r="G30" s="121" cm="1">
        <f t="array" aca="1" ref="G30" ca="1">IFERROR(_FV(D30,"Precio"),"Sin Datos")</f>
        <v>23.89</v>
      </c>
      <c r="H30" s="116" cm="1">
        <f t="array" aca="1" ref="H30" ca="1">IFERROR(_FV(D30,"Cambio (%)",TRUE),"Sin Datos")</f>
        <v>1.6596E-2</v>
      </c>
    </row>
    <row r="31" spans="2:8" ht="16.5" customHeight="1">
      <c r="B31" s="156"/>
      <c r="C31" s="54" t="s">
        <v>301</v>
      </c>
      <c r="D31" t="e" vm="88">
        <v>#VALUE!</v>
      </c>
      <c r="E31" s="84" t="s">
        <v>302</v>
      </c>
      <c r="F31" s="119" cm="1">
        <f t="array" aca="1" ref="F31" ca="1">IFERROR(_FV(D31,"Capitalización de mercado",TRUE),"Sin Datos")</f>
        <v>58938110000</v>
      </c>
      <c r="G31" s="121" cm="1">
        <f t="array" aca="1" ref="G31" ca="1">IFERROR(_FV(D31,"Precio"),"Sin Datos")</f>
        <v>37.67</v>
      </c>
      <c r="H31" s="116" cm="1">
        <f t="array" aca="1" ref="H31" ca="1">IFERROR(_FV(D31,"Cambio (%)",TRUE),"Sin Datos")</f>
        <v>9.3779999999999992E-3</v>
      </c>
    </row>
    <row r="32" spans="2:8" ht="16.5" customHeight="1">
      <c r="B32" s="156"/>
      <c r="C32" s="54" t="s">
        <v>303</v>
      </c>
      <c r="D32" t="e" vm="89">
        <v>#VALUE!</v>
      </c>
      <c r="E32" s="84" t="s">
        <v>304</v>
      </c>
      <c r="F32" s="119" cm="1">
        <f t="array" aca="1" ref="F32" ca="1">IFERROR(_FV(D32,"Capitalización de mercado",TRUE),"Sin Datos")</f>
        <v>74693970000</v>
      </c>
      <c r="G32" s="121" cm="1">
        <f t="array" aca="1" ref="G32" ca="1">IFERROR(_FV(D32,"Precio"),"Sin Datos")</f>
        <v>11.87</v>
      </c>
      <c r="H32" s="116" cm="1">
        <f t="array" aca="1" ref="H32" ca="1">IFERROR(_FV(D32,"Cambio (%)",TRUE),"Sin Datos")</f>
        <v>-8.4180000000000008E-4</v>
      </c>
    </row>
    <row r="33" spans="2:8" ht="15.6">
      <c r="B33" s="156"/>
      <c r="C33" s="54" t="s">
        <v>72</v>
      </c>
      <c r="D33" t="e" vm="90">
        <v>#VALUE!</v>
      </c>
      <c r="E33" s="84" t="s">
        <v>305</v>
      </c>
      <c r="F33" s="119" cm="1">
        <f t="array" aca="1" ref="F33" ca="1">IFERROR(_FV(D33,"Capitalización de mercado",TRUE),"Sin Datos")</f>
        <v>4818086000</v>
      </c>
      <c r="G33" s="121" cm="1">
        <f t="array" aca="1" ref="G33" ca="1">IFERROR(_FV(D33,"Precio"),"Sin Datos")</f>
        <v>47.93</v>
      </c>
      <c r="H33" s="116" cm="1">
        <f t="array" aca="1" ref="H33" ca="1">IFERROR(_FV(D33,"Cambio (%)",TRUE),"Sin Datos")</f>
        <v>3.8120000000000001E-2</v>
      </c>
    </row>
    <row r="34" spans="2:8" ht="15.6">
      <c r="B34" s="156"/>
      <c r="C34" s="54" t="s">
        <v>306</v>
      </c>
      <c r="D34" t="e" vm="91">
        <v>#VALUE!</v>
      </c>
      <c r="E34" s="84" t="s">
        <v>307</v>
      </c>
      <c r="F34" s="119" cm="1">
        <f t="array" aca="1" ref="F34" ca="1">IFERROR(_FV(D34,"Capitalización de mercado",TRUE),"Sin Datos")</f>
        <v>374048296</v>
      </c>
      <c r="G34" s="121" cm="1">
        <f t="array" aca="1" ref="G34" ca="1">IFERROR(_FV(D34,"Precio"),"Sin Datos")</f>
        <v>7.29</v>
      </c>
      <c r="H34" s="116" cm="1">
        <f t="array" aca="1" ref="H34" ca="1">IFERROR(_FV(D34,"Cambio (%)",TRUE),"Sin Datos")</f>
        <v>1.958E-2</v>
      </c>
    </row>
    <row r="35" spans="2:8" ht="15.6">
      <c r="B35" s="156"/>
      <c r="C35" s="54" t="s">
        <v>308</v>
      </c>
      <c r="D35" t="e" vm="92">
        <v>#VALUE!</v>
      </c>
      <c r="E35" s="84" t="s">
        <v>309</v>
      </c>
      <c r="F35" s="119" cm="1">
        <f t="array" aca="1" ref="F35" ca="1">IFERROR(_FV(D35,"Capitalización de mercado",TRUE),"Sin Datos")</f>
        <v>67465607839</v>
      </c>
      <c r="G35" s="121" cm="1">
        <f t="array" aca="1" ref="G35" ca="1">IFERROR(_FV(D35,"Precio"),"Sin Datos")</f>
        <v>45.16</v>
      </c>
      <c r="H35" s="116" cm="1">
        <f t="array" aca="1" ref="H35" ca="1">IFERROR(_FV(D35,"Cambio (%)",TRUE),"Sin Datos")</f>
        <v>-8.8499999999999994E-4</v>
      </c>
    </row>
    <row r="36" spans="2:8" ht="15.6">
      <c r="B36" s="156"/>
      <c r="C36" s="54" t="s">
        <v>310</v>
      </c>
      <c r="D36" t="e" vm="93">
        <v>#VALUE!</v>
      </c>
      <c r="E36" s="84" t="s">
        <v>311</v>
      </c>
      <c r="F36" s="119" cm="1">
        <f t="array" aca="1" ref="F36" ca="1">IFERROR(_FV(D36,"Capitalización de mercado",TRUE),"Sin Datos")</f>
        <v>26847888540</v>
      </c>
      <c r="G36" s="121" cm="1">
        <f t="array" aca="1" ref="G36" ca="1">IFERROR(_FV(D36,"Precio"),"Sin Datos")</f>
        <v>31.9</v>
      </c>
      <c r="H36" s="116" cm="1">
        <f t="array" aca="1" ref="H36" ca="1">IFERROR(_FV(D36,"Cambio (%)",TRUE),"Sin Datos")</f>
        <v>-2.2372E-2</v>
      </c>
    </row>
    <row r="37" spans="2:8" ht="15.6">
      <c r="B37" s="156"/>
      <c r="C37" s="54" t="s">
        <v>312</v>
      </c>
      <c r="D37" t="e" vm="94">
        <v>#VALUE!</v>
      </c>
      <c r="E37" s="84" t="s">
        <v>313</v>
      </c>
      <c r="F37" s="119" cm="1">
        <f t="array" aca="1" ref="F37" ca="1">IFERROR(_FV(D37,"Capitalización de mercado",TRUE),"Sin Datos")</f>
        <v>47315808505</v>
      </c>
      <c r="G37" s="121" cm="1">
        <f t="array" aca="1" ref="G37" ca="1">IFERROR(_FV(D37,"Precio"),"Sin Datos")</f>
        <v>47.95</v>
      </c>
      <c r="H37" s="116" cm="1">
        <f t="array" aca="1" ref="H37" ca="1">IFERROR(_FV(D37,"Cambio (%)",TRUE),"Sin Datos")</f>
        <v>-4.0423999999999995E-2</v>
      </c>
    </row>
    <row r="38" spans="2:8" ht="15.6">
      <c r="B38" s="156"/>
      <c r="C38" s="54" t="s">
        <v>314</v>
      </c>
      <c r="D38" t="e" vm="95">
        <v>#VALUE!</v>
      </c>
      <c r="E38" s="84" t="s">
        <v>315</v>
      </c>
      <c r="F38" s="119" cm="1">
        <f t="array" aca="1" ref="F38" ca="1">IFERROR(_FV(D38,"Capitalización de mercado",TRUE),"Sin Datos")</f>
        <v>886116237.02999997</v>
      </c>
      <c r="G38" s="122" cm="1">
        <f t="array" aca="1" ref="G38" ca="1">IFERROR(_FV(D38,"Precio"),"Sin Datos")</f>
        <v>71.665000000000006</v>
      </c>
      <c r="H38" s="117" cm="1">
        <f t="array" aca="1" ref="H38" ca="1">IFERROR(_FV(D38,"Cambio (%)",TRUE),"Sin Datos")</f>
        <v>1.2503999999999999E-2</v>
      </c>
    </row>
    <row r="39" spans="2:8" ht="18" customHeight="1">
      <c r="B39" s="155" t="s">
        <v>316</v>
      </c>
      <c r="C39" s="75" t="s">
        <v>316</v>
      </c>
      <c r="D39" s="76" t="e" vm="96">
        <v>#VALUE!</v>
      </c>
      <c r="E39" s="85" t="s">
        <v>317</v>
      </c>
      <c r="F39" s="120" cm="1">
        <f t="array" aca="1" ref="F39" ca="1">IFERROR(_FV(D39,"Capitalización de mercado",TRUE),"Sin Datos")</f>
        <v>1162848054</v>
      </c>
      <c r="G39" s="121" cm="1">
        <f t="array" aca="1" ref="G39" ca="1">IFERROR(_FV(D39,"Precio"),"Sin Datos")</f>
        <v>8.2200000000000006</v>
      </c>
      <c r="H39" s="116" cm="1">
        <f t="array" aca="1" ref="H39" ca="1">IFERROR(_FV(D39,"Cambio (%)",TRUE),"Sin Datos")</f>
        <v>-1.5569E-2</v>
      </c>
    </row>
    <row r="40" spans="2:8" ht="18" customHeight="1">
      <c r="B40" s="155"/>
      <c r="C40" s="54" t="s">
        <v>318</v>
      </c>
      <c r="D40" t="e" vm="97">
        <v>#VALUE!</v>
      </c>
      <c r="E40" s="84" t="s">
        <v>319</v>
      </c>
      <c r="F40" s="119" cm="1">
        <f t="array" aca="1" ref="F40" ca="1">IFERROR(_FV(D40,"Capitalización de mercado",TRUE),"Sin Datos")</f>
        <v>384029000</v>
      </c>
      <c r="G40" s="121" cm="1">
        <f t="array" aca="1" ref="G40" ca="1">IFERROR(_FV(D40,"Precio"),"Sin Datos")</f>
        <v>3.74</v>
      </c>
      <c r="H40" s="116" cm="1">
        <f t="array" aca="1" ref="H40" ca="1">IFERROR(_FV(D40,"Cambio (%)",TRUE),"Sin Datos")</f>
        <v>1.9074000000000001E-2</v>
      </c>
    </row>
    <row r="41" spans="2:8" ht="16.5" customHeight="1">
      <c r="B41" s="155"/>
      <c r="C41" s="54" t="s">
        <v>316</v>
      </c>
      <c r="D41" t="e" vm="98">
        <v>#VALUE!</v>
      </c>
      <c r="E41" s="84" t="s">
        <v>320</v>
      </c>
      <c r="F41" s="119" t="str" cm="1">
        <f t="array" ref="F41">IFERROR(_FV(D41,"Capitalización de mercado",TRUE),"Sin Datos")</f>
        <v>Sin Datos</v>
      </c>
      <c r="G41" s="121" t="str" cm="1">
        <f t="array" ref="G41">IFERROR(_FV(D41,"Precio"),"Sin Datos")</f>
        <v>Sin Datos</v>
      </c>
      <c r="H41" s="116" t="str" cm="1">
        <f t="array" ref="H41">IFERROR(_FV(D41,"Cambio (%)",TRUE),"Sin Datos")</f>
        <v>Sin Datos</v>
      </c>
    </row>
    <row r="42" spans="2:8" ht="16.5" customHeight="1">
      <c r="B42" s="155"/>
      <c r="C42" s="54" t="s">
        <v>318</v>
      </c>
      <c r="D42" t="e" vm="97">
        <v>#VALUE!</v>
      </c>
      <c r="E42" s="84" t="s">
        <v>319</v>
      </c>
      <c r="F42" s="119" cm="1">
        <f t="array" aca="1" ref="F42" ca="1">IFERROR(_FV(D42,"Capitalización de mercado",TRUE),"Sin Datos")</f>
        <v>384029000</v>
      </c>
      <c r="G42" s="121" cm="1">
        <f t="array" aca="1" ref="G42" ca="1">IFERROR(_FV(D42,"Precio"),"Sin Datos")</f>
        <v>3.74</v>
      </c>
      <c r="H42" s="116" cm="1">
        <f t="array" aca="1" ref="H42" ca="1">IFERROR(_FV(D42,"Cambio (%)",TRUE),"Sin Datos")</f>
        <v>1.9074000000000001E-2</v>
      </c>
    </row>
    <row r="43" spans="2:8" ht="16.5" customHeight="1">
      <c r="B43" s="155"/>
      <c r="C43" s="54" t="s">
        <v>321</v>
      </c>
      <c r="D43" t="e" vm="99">
        <v>#VALUE!</v>
      </c>
      <c r="E43" s="84" t="s">
        <v>322</v>
      </c>
      <c r="F43" s="119" cm="1">
        <f t="array" aca="1" ref="F43" ca="1">IFERROR(_FV(D43,"Capitalización de mercado",TRUE),"Sin Datos")</f>
        <v>8163731188</v>
      </c>
      <c r="G43" s="121" cm="1">
        <f t="array" aca="1" ref="G43" ca="1">IFERROR(_FV(D43,"Precio"),"Sin Datos")</f>
        <v>25.72</v>
      </c>
      <c r="H43" s="116" cm="1">
        <f t="array" aca="1" ref="H43" ca="1">IFERROR(_FV(D43,"Cambio (%)",TRUE),"Sin Datos")</f>
        <v>-1.0008E-2</v>
      </c>
    </row>
    <row r="44" spans="2:8" ht="16.5" customHeight="1">
      <c r="B44" s="155"/>
      <c r="C44" s="54" t="s">
        <v>323</v>
      </c>
      <c r="D44" t="e" vm="100">
        <v>#VALUE!</v>
      </c>
      <c r="E44" s="84" t="s">
        <v>324</v>
      </c>
      <c r="F44" s="119" cm="1">
        <f t="array" aca="1" ref="F44" ca="1">IFERROR(_FV(D44,"Capitalización de mercado",TRUE),"Sin Datos")</f>
        <v>75539783</v>
      </c>
      <c r="G44" s="121" cm="1">
        <f t="array" aca="1" ref="G44" ca="1">IFERROR(_FV(D44,"Precio"),"Sin Datos")</f>
        <v>1.19</v>
      </c>
      <c r="H44" s="116" cm="1">
        <f t="array" aca="1" ref="H44" ca="1">IFERROR(_FV(D44,"Cambio (%)",TRUE),"Sin Datos")</f>
        <v>-5.5556000000000001E-2</v>
      </c>
    </row>
    <row r="45" spans="2:8" ht="16.5" customHeight="1">
      <c r="B45" s="155"/>
      <c r="C45" s="54" t="s">
        <v>325</v>
      </c>
      <c r="D45" t="e" vm="101">
        <v>#VALUE!</v>
      </c>
      <c r="E45" s="84" t="s">
        <v>326</v>
      </c>
      <c r="F45" s="119" cm="1">
        <f t="array" aca="1" ref="F45" ca="1">IFERROR(_FV(D45,"Capitalización de mercado",TRUE),"Sin Datos")</f>
        <v>132718375596</v>
      </c>
      <c r="G45" s="121" cm="1">
        <f t="array" aca="1" ref="G45" ca="1">IFERROR(_FV(D45,"Precio"),"Sin Datos")</f>
        <v>490.74</v>
      </c>
      <c r="H45" s="116" cm="1">
        <f t="array" aca="1" ref="H45" ca="1">IFERROR(_FV(D45,"Cambio (%)",TRUE),"Sin Datos")</f>
        <v>5.45E-3</v>
      </c>
    </row>
    <row r="46" spans="2:8" ht="16.5" customHeight="1">
      <c r="B46" s="155"/>
      <c r="C46" s="54" t="s">
        <v>327</v>
      </c>
      <c r="D46" t="e" vm="102">
        <v>#VALUE!</v>
      </c>
      <c r="E46" s="84" t="s">
        <v>328</v>
      </c>
      <c r="F46" s="119" cm="1">
        <f t="array" aca="1" ref="F46" ca="1">IFERROR(_FV(D46,"Capitalización de mercado",TRUE),"Sin Datos")</f>
        <v>19533338322</v>
      </c>
      <c r="G46" s="122" cm="1">
        <f t="array" aca="1" ref="G46" ca="1">IFERROR(_FV(D46,"Precio"),"Sin Datos")</f>
        <v>101.02</v>
      </c>
      <c r="H46" s="117" cm="1">
        <f t="array" aca="1" ref="H46" ca="1">IFERROR(_FV(D46,"Cambio (%)",TRUE),"Sin Datos")</f>
        <v>1.0300999999999999E-2</v>
      </c>
    </row>
    <row r="47" spans="2:8" ht="16.5" customHeight="1">
      <c r="B47" s="154" t="s">
        <v>329</v>
      </c>
      <c r="C47" s="75" t="s">
        <v>330</v>
      </c>
      <c r="D47" s="76" t="e" vm="103">
        <v>#VALUE!</v>
      </c>
      <c r="E47" s="85" t="s">
        <v>331</v>
      </c>
      <c r="F47" s="120" cm="1">
        <f t="array" aca="1" ref="F47" ca="1">IFERROR(_FV(D47,"Capitalización de mercado",TRUE),"Sin Datos")</f>
        <v>62948630000</v>
      </c>
      <c r="G47" s="121" cm="1">
        <f t="array" aca="1" ref="G47" ca="1">IFERROR(_FV(D47,"Precio"),"Sin Datos")</f>
        <v>13.895</v>
      </c>
      <c r="H47" s="116" cm="1">
        <f t="array" aca="1" ref="H47" ca="1">IFERROR(_FV(D47,"Cambio (%)",TRUE),"Sin Datos")</f>
        <v>-5.3690000000000005E-3</v>
      </c>
    </row>
    <row r="48" spans="2:8" ht="16.5" customHeight="1">
      <c r="B48" s="154"/>
      <c r="C48" s="54" t="s">
        <v>69</v>
      </c>
      <c r="D48" t="e" vm="104">
        <v>#VALUE!</v>
      </c>
      <c r="E48" s="84" t="s">
        <v>332</v>
      </c>
      <c r="F48" s="119" cm="1">
        <f t="array" aca="1" ref="F48" ca="1">IFERROR(_FV(D48,"Capitalización de mercado",TRUE),"Sin Datos")</f>
        <v>5306268245.4899998</v>
      </c>
      <c r="G48" s="121" cm="1">
        <f t="array" aca="1" ref="G48" ca="1">IFERROR(_FV(D48,"Precio"),"Sin Datos")</f>
        <v>51.76</v>
      </c>
      <c r="H48" s="116" cm="1">
        <f t="array" aca="1" ref="H48" ca="1">IFERROR(_FV(D48,"Cambio (%)",TRUE),"Sin Datos")</f>
        <v>2.8820999999999999E-2</v>
      </c>
    </row>
    <row r="49" spans="2:8" ht="16.5" customHeight="1">
      <c r="B49" s="154"/>
      <c r="C49" s="54" t="s">
        <v>333</v>
      </c>
      <c r="D49" t="e" vm="105">
        <v>#VALUE!</v>
      </c>
      <c r="E49" s="84" t="s">
        <v>334</v>
      </c>
      <c r="F49" s="119" cm="1">
        <f t="array" aca="1" ref="F49" ca="1">IFERROR(_FV(D49,"Capitalización de mercado",TRUE),"Sin Datos")</f>
        <v>22367702388</v>
      </c>
      <c r="G49" s="121" cm="1">
        <f t="array" aca="1" ref="G49" ca="1">IFERROR(_FV(D49,"Precio"),"Sin Datos")</f>
        <v>42.36</v>
      </c>
      <c r="H49" s="116" cm="1">
        <f t="array" aca="1" ref="H49" ca="1">IFERROR(_FV(D49,"Cambio (%)",TRUE),"Sin Datos")</f>
        <v>-2.2612E-2</v>
      </c>
    </row>
    <row r="50" spans="2:8" ht="15.6">
      <c r="B50" s="154"/>
      <c r="C50" s="54" t="s">
        <v>335</v>
      </c>
      <c r="D50" t="e" vm="106">
        <v>#VALUE!</v>
      </c>
      <c r="E50" s="84" t="s">
        <v>336</v>
      </c>
      <c r="F50" s="119" cm="1">
        <f t="array" aca="1" ref="F50" ca="1">IFERROR(_FV(D50,"Capitalización de mercado",TRUE),"Sin Datos")</f>
        <v>18835336100</v>
      </c>
      <c r="G50" s="121" cm="1">
        <f t="array" aca="1" ref="G50" ca="1">IFERROR(_FV(D50,"Precio"),"Sin Datos")</f>
        <v>26.5</v>
      </c>
      <c r="H50" s="116" cm="1">
        <f t="array" aca="1" ref="H50" ca="1">IFERROR(_FV(D50,"Cambio (%)",TRUE),"Sin Datos")</f>
        <v>6.4570000000000009E-3</v>
      </c>
    </row>
    <row r="51" spans="2:8" ht="15.6">
      <c r="B51" s="154"/>
      <c r="C51" s="54" t="s">
        <v>337</v>
      </c>
      <c r="D51" t="e" vm="107">
        <v>#VALUE!</v>
      </c>
      <c r="E51" s="84" t="s">
        <v>338</v>
      </c>
      <c r="F51" s="119" cm="1">
        <f t="array" aca="1" ref="F51" ca="1">IFERROR(_FV(D51,"Capitalización de mercado",TRUE),"Sin Datos")</f>
        <v>18196097279</v>
      </c>
      <c r="G51" s="121" cm="1">
        <f t="array" aca="1" ref="G51" ca="1">IFERROR(_FV(D51,"Precio"),"Sin Datos")</f>
        <v>43.43</v>
      </c>
      <c r="H51" s="116" cm="1">
        <f t="array" aca="1" ref="H51" ca="1">IFERROR(_FV(D51,"Cambio (%)",TRUE),"Sin Datos")</f>
        <v>-8.6739999999999994E-3</v>
      </c>
    </row>
    <row r="52" spans="2:8" ht="15.6">
      <c r="B52" s="154"/>
      <c r="C52" s="54" t="s">
        <v>339</v>
      </c>
      <c r="D52" t="e" vm="108">
        <v>#VALUE!</v>
      </c>
      <c r="E52" s="84" t="s">
        <v>340</v>
      </c>
      <c r="F52" s="119" cm="1">
        <f t="array" aca="1" ref="F52" ca="1">IFERROR(_FV(D52,"Capitalización de mercado",TRUE),"Sin Datos")</f>
        <v>9070035000</v>
      </c>
      <c r="G52" s="121" cm="1">
        <f t="array" aca="1" ref="G52" ca="1">IFERROR(_FV(D52,"Precio"),"Sin Datos")</f>
        <v>11.11</v>
      </c>
      <c r="H52" s="116" cm="1">
        <f t="array" aca="1" ref="H52" ca="1">IFERROR(_FV(D52,"Cambio (%)",TRUE),"Sin Datos")</f>
        <v>3.4451000000000002E-2</v>
      </c>
    </row>
    <row r="53" spans="2:8" ht="15.6">
      <c r="B53" s="154"/>
      <c r="C53" s="54" t="s">
        <v>341</v>
      </c>
      <c r="D53" t="e" vm="109">
        <v>#VALUE!</v>
      </c>
      <c r="E53" s="84" t="s">
        <v>342</v>
      </c>
      <c r="F53" s="119" cm="1">
        <f t="array" aca="1" ref="F53" ca="1">IFERROR(_FV(D53,"Capitalización de mercado",TRUE),"Sin Datos")</f>
        <v>2425721000</v>
      </c>
      <c r="G53" s="121" cm="1">
        <f t="array" aca="1" ref="G53" ca="1">IFERROR(_FV(D53,"Precio"),"Sin Datos")</f>
        <v>1.865</v>
      </c>
      <c r="H53" s="116" cm="1">
        <f t="array" aca="1" ref="H53" ca="1">IFERROR(_FV(D53,"Cambio (%)",TRUE),"Sin Datos")</f>
        <v>2.6879999999999999E-3</v>
      </c>
    </row>
    <row r="54" spans="2:8" ht="16.5" customHeight="1">
      <c r="B54" s="154"/>
      <c r="C54" s="54" t="s">
        <v>343</v>
      </c>
      <c r="D54" t="e" vm="110">
        <v>#VALUE!</v>
      </c>
      <c r="E54" s="84" t="s">
        <v>344</v>
      </c>
      <c r="F54" s="119" t="str" cm="1">
        <f t="array" ref="F54">IFERROR(_FV(D54,"Capitalización de mercado",TRUE),"Sin Datos")</f>
        <v>Sin Datos</v>
      </c>
      <c r="G54" s="121" cm="1">
        <f t="array" aca="1" ref="G54" ca="1">IFERROR(_FV(D54,"Precio"),"Sin Datos")</f>
        <v>9.66</v>
      </c>
      <c r="H54" s="116" cm="1">
        <f t="array" aca="1" ref="H54" ca="1">IFERROR(_FV(D54,"Cambio (%)",TRUE),"Sin Datos")</f>
        <v>1.1517999999999999E-2</v>
      </c>
    </row>
    <row r="55" spans="2:8" ht="16.5" customHeight="1">
      <c r="B55" s="154"/>
      <c r="C55" s="54" t="s">
        <v>345</v>
      </c>
      <c r="D55" t="e" vm="111">
        <v>#VALUE!</v>
      </c>
      <c r="E55" s="84" t="s">
        <v>346</v>
      </c>
      <c r="F55" s="119" cm="1">
        <f t="array" aca="1" ref="F55" ca="1">IFERROR(_FV(D55,"Capitalización de mercado",TRUE),"Sin Datos")</f>
        <v>162311900000</v>
      </c>
      <c r="G55" s="121" cm="1">
        <f t="array" aca="1" ref="G55" ca="1">IFERROR(_FV(D55,"Precio"),"Sin Datos")</f>
        <v>62.8</v>
      </c>
      <c r="H55" s="116" cm="1">
        <f t="array" aca="1" ref="H55" ca="1">IFERROR(_FV(D55,"Cambio (%)",TRUE),"Sin Datos")</f>
        <v>1.7498E-2</v>
      </c>
    </row>
    <row r="56" spans="2:8" ht="16.5" customHeight="1">
      <c r="B56" s="154"/>
      <c r="C56" s="55" t="s">
        <v>347</v>
      </c>
      <c r="D56" s="77" t="e" vm="112">
        <v>#VALUE!</v>
      </c>
      <c r="E56" s="84" t="s">
        <v>348</v>
      </c>
      <c r="F56" s="118" cm="1">
        <f t="array" aca="1" ref="F56" ca="1">IFERROR(_FV(D56,"Capitalización de mercado",TRUE),"Sin Datos")</f>
        <v>136782200000</v>
      </c>
      <c r="G56" s="122" cm="1">
        <f t="array" aca="1" ref="G56" ca="1">IFERROR(_FV(D56,"Precio"),"Sin Datos")</f>
        <v>82.88</v>
      </c>
      <c r="H56" s="117" cm="1">
        <f t="array" aca="1" ref="H56" ca="1">IFERROR(_FV(D56,"Cambio (%)",TRUE),"Sin Datos")</f>
        <v>2.1569999999999999E-2</v>
      </c>
    </row>
    <row r="57" spans="2:8" ht="16.5" customHeight="1">
      <c r="B57" s="123" t="s">
        <v>197</v>
      </c>
      <c r="C57" s="55" t="s">
        <v>349</v>
      </c>
      <c r="D57" s="77" t="e" vm="113">
        <v>#VALUE!</v>
      </c>
      <c r="E57" s="124" t="s">
        <v>350</v>
      </c>
      <c r="F57" s="118" cm="1">
        <f t="array" aca="1" ref="F57" ca="1">IFERROR(_FV(D57,"Capitalización de mercado",TRUE),"Sin Datos")</f>
        <v>1627188826.0999999</v>
      </c>
      <c r="G57" s="122" cm="1">
        <f t="array" aca="1" ref="G57" ca="1">IFERROR(_FV(D57,"Precio"),"Sin Datos")</f>
        <v>88.84</v>
      </c>
      <c r="H57" s="117" cm="1">
        <f t="array" aca="1" ref="H57" ca="1">IFERROR(_FV(D57,"Cambio (%)",TRUE),"Sin Datos")</f>
        <v>0</v>
      </c>
    </row>
  </sheetData>
  <sheetProtection algorithmName="SHA-512" hashValue="EUOPgZOy9sT11INW+SWE6UbRpn8XfmpgpF2I+ZySmPcX70dMi6qV4vfxIKWlJpk6KdqwQdYn9mUguu2rvcGfVw==" saltValue="eSUEZ82GsR2AMkGKEILwcg==" spinCount="100000" sheet="1" objects="1" scenarios="1"/>
  <mergeCells count="7">
    <mergeCell ref="B3:B9"/>
    <mergeCell ref="B10:B13"/>
    <mergeCell ref="B14:B16"/>
    <mergeCell ref="B47:B56"/>
    <mergeCell ref="B39:B46"/>
    <mergeCell ref="B20:B38"/>
    <mergeCell ref="B17:B19"/>
  </mergeCells>
  <conditionalFormatting sqref="H3:H5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B93B-2287-4293-B999-905F43F71C8A}">
  <dimension ref="B2:F8"/>
  <sheetViews>
    <sheetView workbookViewId="0">
      <selection activeCell="E4" sqref="E4"/>
    </sheetView>
  </sheetViews>
  <sheetFormatPr defaultColWidth="11.42578125" defaultRowHeight="14.45"/>
  <cols>
    <col min="1" max="1" width="11.42578125" style="1"/>
    <col min="2" max="2" width="14.85546875" style="1" customWidth="1"/>
    <col min="3" max="3" width="21.140625" style="1" customWidth="1"/>
    <col min="4" max="4" width="20.28515625" style="1" customWidth="1"/>
    <col min="5" max="5" width="18.7109375" style="1" customWidth="1"/>
    <col min="6" max="6" width="47.42578125" style="1" customWidth="1"/>
    <col min="7" max="16384" width="11.42578125" style="1"/>
  </cols>
  <sheetData>
    <row r="2" spans="2:6" ht="21">
      <c r="C2" s="68" t="s">
        <v>351</v>
      </c>
      <c r="D2" s="73"/>
      <c r="E2" s="73"/>
      <c r="F2" s="74"/>
    </row>
    <row r="3" spans="2:6" ht="21">
      <c r="B3" s="69" t="s">
        <v>352</v>
      </c>
      <c r="C3" s="69" t="s">
        <v>353</v>
      </c>
      <c r="D3" s="70" t="s">
        <v>354</v>
      </c>
      <c r="E3" s="70" t="s">
        <v>355</v>
      </c>
      <c r="F3" s="69" t="s">
        <v>356</v>
      </c>
    </row>
    <row r="4" spans="2:6" ht="43.15">
      <c r="B4" s="79" t="s">
        <v>357</v>
      </c>
      <c r="C4" s="3" t="s">
        <v>358</v>
      </c>
      <c r="D4" s="71" t="s">
        <v>359</v>
      </c>
      <c r="E4" s="72" t="s">
        <v>360</v>
      </c>
      <c r="F4" s="2" t="s">
        <v>361</v>
      </c>
    </row>
    <row r="5" spans="2:6" ht="43.15">
      <c r="B5" s="80" t="s">
        <v>362</v>
      </c>
      <c r="C5" s="3" t="s">
        <v>110</v>
      </c>
      <c r="D5" s="71" t="s">
        <v>359</v>
      </c>
      <c r="E5" s="72" t="s">
        <v>360</v>
      </c>
      <c r="F5" s="2" t="s">
        <v>363</v>
      </c>
    </row>
    <row r="6" spans="2:6" ht="43.15">
      <c r="B6" s="79" t="s">
        <v>357</v>
      </c>
      <c r="C6" s="3" t="s">
        <v>364</v>
      </c>
      <c r="D6" s="71" t="s">
        <v>359</v>
      </c>
      <c r="E6" s="72" t="s">
        <v>360</v>
      </c>
      <c r="F6" s="2" t="s">
        <v>365</v>
      </c>
    </row>
    <row r="7" spans="2:6" ht="57.6">
      <c r="B7" s="81" t="s">
        <v>366</v>
      </c>
      <c r="C7" s="3" t="s">
        <v>367</v>
      </c>
      <c r="D7" s="71" t="s">
        <v>359</v>
      </c>
      <c r="E7" s="72" t="s">
        <v>368</v>
      </c>
      <c r="F7" s="2" t="s">
        <v>369</v>
      </c>
    </row>
    <row r="8" spans="2:6" ht="57.6">
      <c r="B8" s="83" t="s">
        <v>370</v>
      </c>
      <c r="C8" s="3" t="s">
        <v>371</v>
      </c>
      <c r="D8" s="71" t="s">
        <v>359</v>
      </c>
      <c r="E8" s="72" t="s">
        <v>360</v>
      </c>
      <c r="F8" s="2" t="s">
        <v>372</v>
      </c>
    </row>
  </sheetData>
  <sheetProtection algorithmName="SHA-512" hashValue="EvEiBe9XNUVtjK0OyJywi/AHSgyfJ82y+oRKbmXLsK2ct9sMaQ1Hf1F/efIAAAY7jsloukmeajChuBPgLQAPDw==" saltValue="fgRO/+EB/fy4/OPy/rLJyQ==" spinCount="100000" sheet="1" objects="1" scenarios="1"/>
  <conditionalFormatting sqref="E2:E8">
    <cfRule type="cellIs" dxfId="2" priority="4" operator="equal">
      <formula>"Pendiente"</formula>
    </cfRule>
    <cfRule type="cellIs" dxfId="1" priority="5" operator="equal">
      <formula>"Abierto"</formula>
    </cfRule>
    <cfRule type="cellIs" dxfId="0" priority="6" operator="equal">
      <formula>"Cerrado"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9E9590CC60574F9D0BDCDC975DD8F2" ma:contentTypeVersion="16" ma:contentTypeDescription="Create a new document." ma:contentTypeScope="" ma:versionID="081d5f5f6e1ae0753d7fd03b55e0d39f">
  <xsd:schema xmlns:xsd="http://www.w3.org/2001/XMLSchema" xmlns:xs="http://www.w3.org/2001/XMLSchema" xmlns:p="http://schemas.microsoft.com/office/2006/metadata/properties" xmlns:ns2="2a6c9c25-7456-4549-9c62-a1267b96fd38" xmlns:ns3="0edffc20-b8f7-4f48-9896-3a45afa04559" targetNamespace="http://schemas.microsoft.com/office/2006/metadata/properties" ma:root="true" ma:fieldsID="d101ed571f1b569e2f1aa66f3a14ac75" ns2:_="" ns3:_="">
    <xsd:import namespace="2a6c9c25-7456-4549-9c62-a1267b96fd38"/>
    <xsd:import namespace="0edffc20-b8f7-4f48-9896-3a45afa0455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6c9c25-7456-4549-9c62-a1267b96fd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4def1a7-4a65-4794-a890-bf5d96e784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dffc20-b8f7-4f48-9896-3a45afa0455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4aa148a-4a17-401c-a793-8dee8aead88f}" ma:internalName="TaxCatchAll" ma:showField="CatchAllData" ma:web="0edffc20-b8f7-4f48-9896-3a45afa045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a6c9c25-7456-4549-9c62-a1267b96fd38">
      <Terms xmlns="http://schemas.microsoft.com/office/infopath/2007/PartnerControls"/>
    </lcf76f155ced4ddcb4097134ff3c332f>
    <TaxCatchAll xmlns="0edffc20-b8f7-4f48-9896-3a45afa04559" xsi:nil="true"/>
    <SharedWithUsers xmlns="0edffc20-b8f7-4f48-9896-3a45afa04559">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B2DF3C-D5B6-4A6A-900A-7C11A781D3B0}"/>
</file>

<file path=customXml/itemProps2.xml><?xml version="1.0" encoding="utf-8"?>
<ds:datastoreItem xmlns:ds="http://schemas.openxmlformats.org/officeDocument/2006/customXml" ds:itemID="{9707904E-1B98-47D4-95DE-07C02FA8C00F}"/>
</file>

<file path=customXml/itemProps3.xml><?xml version="1.0" encoding="utf-8"?>
<ds:datastoreItem xmlns:ds="http://schemas.openxmlformats.org/officeDocument/2006/customXml" ds:itemID="{AD85C82F-C2AA-4334-98F2-ADE3C7B015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2026-01-07T18:34:48Z</dcterms:created>
  <dcterms:modified xsi:type="dcterms:W3CDTF">2026-07-30T00:39:08Z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0x010100299E9590CC60574F9D0BDCDC975DD8F2</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PowerlinkCOMAddIn.COMAddIn.WebAddinBridge.Options">
    <vt:lpwstr>{"port":50152,"version":"1.26.412"}</vt:lpwstr>
  </property>
</Properties>
</file>