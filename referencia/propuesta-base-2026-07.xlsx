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1204" documentId="11_0E86C4806D8F35A8A3A24F82C4B7D5B9FA72A8E7" xr6:coauthVersionLast="47" xr6:coauthVersionMax="47" xr10:uidLastSave="{637A98ED-11D4-4A49-BF85-1E77B61CE0FF}"/>
  <bookViews>
    <workbookView xWindow="-108" yWindow="-108" windowWidth="23256" windowHeight="12456" xr2:uid="{00000000-000D-0000-FFFF-FFFF00000000}"/>
  </bookViews>
  <sheets>
    <sheet name="Propuesta" sheetId="1" r:id="rId1"/>
    <sheet name="CEDEARS" sheetId="6" r:id="rId2"/>
    <sheet name="Renta Fija pago mensual" sheetId="7" r:id="rId3"/>
  </sheets>
  <definedNames>
    <definedName name="_xlnm._FilterDatabase" localSheetId="1" hidden="1">CEDEARS!$B$2:$H$9</definedName>
    <definedName name="_xlnm._FilterDatabase" localSheetId="2" hidden="1">'Renta Fija pago mensual'!$AJ$12:$AL$20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0" i="7" l="1"/>
  <c r="AB27" i="7"/>
  <c r="G8" i="1"/>
  <c r="G9" i="1"/>
  <c r="H9" i="1"/>
  <c r="H8" i="1"/>
  <c r="W23" i="7"/>
  <c r="W29" i="7"/>
  <c r="AF14" i="7"/>
  <c r="I30" i="7"/>
  <c r="I24" i="7"/>
  <c r="I17" i="7"/>
  <c r="AB13" i="7" s="1"/>
  <c r="AB4" i="7" l="1"/>
  <c r="B17" i="7"/>
  <c r="C17" i="7"/>
  <c r="D17" i="7"/>
  <c r="E17" i="7"/>
  <c r="F17" i="7"/>
  <c r="G17" i="7"/>
  <c r="H17" i="7"/>
  <c r="J17" i="7"/>
  <c r="K17" i="7"/>
  <c r="M17" i="7"/>
  <c r="N17" i="7"/>
  <c r="W17" i="7"/>
  <c r="T17" i="7"/>
  <c r="S17" i="7"/>
  <c r="R17" i="7"/>
  <c r="Q17" i="7"/>
  <c r="P17" i="7"/>
  <c r="Y16" i="7"/>
  <c r="P26" i="7"/>
  <c r="N31" i="7"/>
  <c r="N30" i="7"/>
  <c r="N29" i="7"/>
  <c r="N28" i="7"/>
  <c r="N27" i="7"/>
  <c r="N26" i="7"/>
  <c r="N25" i="7"/>
  <c r="N24" i="7"/>
  <c r="N23" i="7"/>
  <c r="N22" i="7"/>
  <c r="N21" i="7"/>
  <c r="N20" i="7"/>
  <c r="M31" i="7"/>
  <c r="M30" i="7"/>
  <c r="M29" i="7"/>
  <c r="M28" i="7"/>
  <c r="M27" i="7"/>
  <c r="M26" i="7"/>
  <c r="M25" i="7"/>
  <c r="M24" i="7"/>
  <c r="M23" i="7"/>
  <c r="M22" i="7"/>
  <c r="M21" i="7"/>
  <c r="M20" i="7"/>
  <c r="AB25" i="7" l="1"/>
  <c r="T15" i="7"/>
  <c r="AB23" i="7"/>
  <c r="W15" i="7"/>
  <c r="N15" i="7"/>
  <c r="AB19" i="7"/>
  <c r="D15" i="7"/>
  <c r="AF17" i="7"/>
  <c r="M15" i="7"/>
  <c r="AB14" i="7"/>
  <c r="AF16" i="7"/>
  <c r="C15" i="7"/>
  <c r="AB18" i="7"/>
  <c r="G15" i="7"/>
  <c r="E15" i="7"/>
  <c r="AF18" i="7"/>
  <c r="P15" i="7"/>
  <c r="AF19" i="7"/>
  <c r="K15" i="7"/>
  <c r="AB15" i="7"/>
  <c r="B15" i="7"/>
  <c r="I15" i="7"/>
  <c r="AB28" i="7"/>
  <c r="S15" i="7"/>
  <c r="Q15" i="7"/>
  <c r="J15" i="7"/>
  <c r="AB17" i="7"/>
  <c r="F15" i="7"/>
  <c r="R15" i="7"/>
  <c r="AB22" i="7"/>
  <c r="H15" i="7"/>
  <c r="AF15" i="7"/>
  <c r="AB21" i="7"/>
  <c r="AB16" i="7"/>
  <c r="AB24" i="7"/>
  <c r="AB20" i="7"/>
  <c r="AB26" i="7"/>
  <c r="AF13" i="7"/>
  <c r="N18" i="7"/>
  <c r="D8" i="1"/>
  <c r="X16" i="7"/>
  <c r="C29" i="7"/>
  <c r="C26" i="7"/>
  <c r="C23" i="7"/>
  <c r="C20" i="7"/>
  <c r="G31" i="7"/>
  <c r="G28" i="7"/>
  <c r="G25" i="7"/>
  <c r="G22" i="7"/>
  <c r="S29" i="7"/>
  <c r="S23" i="7"/>
  <c r="Q29" i="7"/>
  <c r="Q23" i="7"/>
  <c r="H29" i="7"/>
  <c r="H23" i="7"/>
  <c r="E27" i="7"/>
  <c r="E21" i="7"/>
  <c r="P20" i="7"/>
  <c r="T31" i="7"/>
  <c r="T25" i="7"/>
  <c r="K31" i="7"/>
  <c r="K25" i="7"/>
  <c r="R30" i="7"/>
  <c r="R24" i="7"/>
  <c r="AF22" i="7" l="1"/>
  <c r="AB30" i="7"/>
  <c r="B20" i="7"/>
  <c r="X20" i="7" s="1"/>
  <c r="D21" i="7"/>
  <c r="X21" i="7" s="1"/>
  <c r="F22" i="7"/>
  <c r="X22" i="7" s="1"/>
  <c r="B23" i="7"/>
  <c r="X23" i="7" s="1"/>
  <c r="X24" i="7"/>
  <c r="J25" i="7"/>
  <c r="Y25" i="7" s="1"/>
  <c r="B26" i="7"/>
  <c r="X26" i="7" s="1"/>
  <c r="D27" i="7"/>
  <c r="X27" i="7" s="1"/>
  <c r="F28" i="7"/>
  <c r="B29" i="7"/>
  <c r="X29" i="7" s="1"/>
  <c r="X30" i="7"/>
  <c r="J31" i="7"/>
  <c r="Y31" i="7" s="1"/>
  <c r="AF23" i="7" l="1"/>
  <c r="AG20" i="7"/>
  <c r="AC25" i="7"/>
  <c r="AC27" i="7"/>
  <c r="AG13" i="7"/>
  <c r="AG14" i="7"/>
  <c r="AG17" i="7"/>
  <c r="AG15" i="7"/>
  <c r="AG16" i="7"/>
  <c r="AG18" i="7"/>
  <c r="AG19" i="7"/>
  <c r="AB31" i="7"/>
  <c r="AC17" i="7"/>
  <c r="AC22" i="7"/>
  <c r="AC23" i="7"/>
  <c r="AC19" i="7"/>
  <c r="AC24" i="7"/>
  <c r="AC21" i="7"/>
  <c r="AC18" i="7"/>
  <c r="AC16" i="7"/>
  <c r="AC26" i="7"/>
  <c r="AC28" i="7"/>
  <c r="AC14" i="7"/>
  <c r="AC20" i="7"/>
  <c r="AC15" i="7"/>
  <c r="Y28" i="7"/>
  <c r="X28" i="7"/>
  <c r="X31" i="7"/>
  <c r="X25" i="7"/>
  <c r="Y23" i="7"/>
  <c r="Y29" i="7"/>
  <c r="Y27" i="7"/>
  <c r="Y20" i="7"/>
  <c r="Y22" i="7"/>
  <c r="Y26" i="7"/>
  <c r="Y30" i="7"/>
  <c r="Y24" i="7"/>
  <c r="Y21" i="7"/>
  <c r="AG22" i="7" l="1"/>
  <c r="X32" i="7"/>
  <c r="G10" i="1" s="1"/>
  <c r="AB6" i="7"/>
  <c r="D7" i="1"/>
  <c r="D9" i="1"/>
  <c r="H10" i="1" l="1"/>
  <c r="H12" i="1" s="1"/>
  <c r="G12" i="1"/>
  <c r="G7" i="1"/>
  <c r="H7" i="1" s="1"/>
  <c r="D10" i="1"/>
  <c r="D12" i="1" l="1"/>
  <c r="D13" i="1" s="1"/>
  <c r="C12" i="1"/>
  <c r="E13" i="1" l="1"/>
  <c r="AB10" i="7" l="1"/>
  <c r="Y32" i="7"/>
  <c r="AC13" i="7" l="1"/>
  <c r="AC30" i="7" s="1"/>
</calcChain>
</file>

<file path=xl/sharedStrings.xml><?xml version="1.0" encoding="utf-8"?>
<sst xmlns="http://schemas.openxmlformats.org/spreadsheetml/2006/main" count="306" uniqueCount="188">
  <si>
    <t>%</t>
  </si>
  <si>
    <t>Observaciones</t>
  </si>
  <si>
    <t>Instrumento</t>
  </si>
  <si>
    <t>Fondo Común</t>
  </si>
  <si>
    <t>Link para ver detalle de FCI -&gt;</t>
  </si>
  <si>
    <t>Cedears</t>
  </si>
  <si>
    <t>* En ningún caso se asegura o garantiza el resultado de la inversión. El anuncio de rentabilidad pasada no es garantía o promesa de
rentabilidad futura.</t>
  </si>
  <si>
    <t>Mercado Libre</t>
  </si>
  <si>
    <t>MELI</t>
  </si>
  <si>
    <t>Globant</t>
  </si>
  <si>
    <t>Monto</t>
  </si>
  <si>
    <t>Precio</t>
  </si>
  <si>
    <t>Nominales</t>
  </si>
  <si>
    <t>Detalle</t>
  </si>
  <si>
    <t>Ticker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</si>
  <si>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</si>
  <si>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</si>
  <si>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</si>
  <si>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</si>
  <si>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</si>
  <si>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</si>
  <si>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</si>
  <si>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</si>
  <si>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</si>
  <si>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</si>
  <si>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MSU Energy</t>
  </si>
  <si>
    <t>Febrero</t>
  </si>
  <si>
    <t>EDENOR</t>
  </si>
  <si>
    <t>Enero</t>
  </si>
  <si>
    <t>PECOM</t>
  </si>
  <si>
    <t>Pan American</t>
  </si>
  <si>
    <t>Emisor</t>
  </si>
  <si>
    <t>Ponderación</t>
  </si>
  <si>
    <t>Cable</t>
  </si>
  <si>
    <t>MEP</t>
  </si>
  <si>
    <t>Paga</t>
  </si>
  <si>
    <t>NY</t>
  </si>
  <si>
    <t>ARG</t>
  </si>
  <si>
    <t>Ley</t>
  </si>
  <si>
    <t>Lámina min.</t>
  </si>
  <si>
    <t>TNA promedio</t>
  </si>
  <si>
    <t>Paridad</t>
  </si>
  <si>
    <t>TIR (*)</t>
  </si>
  <si>
    <t>Cupón promedio mensual</t>
  </si>
  <si>
    <t>Cupón</t>
  </si>
  <si>
    <t xml:space="preserve">	02/09/2027</t>
  </si>
  <si>
    <t>Vencimiento</t>
  </si>
  <si>
    <t>Monto a invertir</t>
  </si>
  <si>
    <t>Loma Negra</t>
  </si>
  <si>
    <t>Pluspetrol</t>
  </si>
  <si>
    <t>Vista</t>
  </si>
  <si>
    <t>YPF</t>
  </si>
  <si>
    <t>Ya está en cartera</t>
  </si>
  <si>
    <t>Sector</t>
  </si>
  <si>
    <t>O&amp;G</t>
  </si>
  <si>
    <t>Servicios</t>
  </si>
  <si>
    <t>Construcción</t>
  </si>
  <si>
    <t>Scania</t>
  </si>
  <si>
    <t>Financiera</t>
  </si>
  <si>
    <t>Oldelval</t>
  </si>
  <si>
    <t>Luz de Tres Picos</t>
  </si>
  <si>
    <t>Energías Renovables</t>
  </si>
  <si>
    <t>Calificación</t>
  </si>
  <si>
    <t>PCR</t>
  </si>
  <si>
    <t>CAPEX</t>
  </si>
  <si>
    <t>RUCED</t>
  </si>
  <si>
    <t>DNC5D</t>
  </si>
  <si>
    <t>MCC1D</t>
  </si>
  <si>
    <t>RUCDD</t>
  </si>
  <si>
    <t>OLC6D</t>
  </si>
  <si>
    <t>PQCRD</t>
  </si>
  <si>
    <t>LUC5D</t>
  </si>
  <si>
    <t>CACBD</t>
  </si>
  <si>
    <t>PLC2D</t>
  </si>
  <si>
    <t>SBC2D</t>
  </si>
  <si>
    <t>AAA(arg) (FIX)</t>
  </si>
  <si>
    <t>AA(arg) (FIX)</t>
  </si>
  <si>
    <t>AA (FIX)</t>
  </si>
  <si>
    <t>Mes pago</t>
  </si>
  <si>
    <t>AAA(arg)</t>
  </si>
  <si>
    <t>AA-(arg) (FIX)</t>
  </si>
  <si>
    <t>A+(arg) (FIX)</t>
  </si>
  <si>
    <t>AA(arg)</t>
  </si>
  <si>
    <t>AA-(arg)</t>
  </si>
  <si>
    <t>1-7</t>
  </si>
  <si>
    <t>4-10</t>
  </si>
  <si>
    <t>1-4-7-10</t>
  </si>
  <si>
    <t>2-8</t>
  </si>
  <si>
    <t>3-9</t>
  </si>
  <si>
    <t>5-11</t>
  </si>
  <si>
    <t>6-12</t>
  </si>
  <si>
    <t>3-6-9-12</t>
  </si>
  <si>
    <t>USD</t>
  </si>
  <si>
    <r>
      <t xml:space="preserve">BALANZ INSTITUCIONAL FCI - Atado CER. </t>
    </r>
    <r>
      <rPr>
        <b/>
        <sz val="11"/>
        <color theme="1"/>
        <rFont val="Calibri"/>
        <family val="2"/>
      </rPr>
      <t xml:space="preserve">Rendimiento proyectado 2026: 33% (CER + 3%). Horizonte de inversión: mediano plazo (entre 6 meses y 12 meses). </t>
    </r>
    <r>
      <rPr>
        <sz val="11"/>
        <color theme="1"/>
        <rFont val="Calibri"/>
        <family val="2"/>
      </rPr>
      <t>El CER estimado se toma del REM de Junio 2026.</t>
    </r>
    <r>
      <rPr>
        <sz val="11"/>
        <color theme="1"/>
        <rFont val="Calibri"/>
        <family val="2"/>
        <scheme val="minor"/>
      </rPr>
      <t xml:space="preserve"> FCI en pesos.</t>
    </r>
  </si>
  <si>
    <t>AO27</t>
  </si>
  <si>
    <t>Soberano</t>
  </si>
  <si>
    <t>mensual</t>
  </si>
  <si>
    <t>AO28</t>
  </si>
  <si>
    <t>B-</t>
  </si>
  <si>
    <t>Empresa / Índice</t>
  </si>
  <si>
    <t>¿A qué se dedica?</t>
  </si>
  <si>
    <t>¿Por qué elegirla?</t>
  </si>
  <si>
    <t>SPY</t>
  </si>
  <si>
    <t>DIA</t>
  </si>
  <si>
    <t>MCD</t>
  </si>
  <si>
    <t>McDonald's</t>
  </si>
  <si>
    <t>NVDA</t>
  </si>
  <si>
    <t>NVIDIA</t>
  </si>
  <si>
    <t>GLOB</t>
  </si>
  <si>
    <t>GLD</t>
  </si>
  <si>
    <t>SPDR S&amp;P 500 ETF</t>
  </si>
  <si>
    <t>SPDR Gold Shares ETF</t>
  </si>
  <si>
    <t>BRKB</t>
  </si>
  <si>
    <t>Berkshire Hathaway</t>
  </si>
  <si>
    <t>V</t>
  </si>
  <si>
    <t>Visa</t>
  </si>
  <si>
    <t>Categoría</t>
  </si>
  <si>
    <t>Peso</t>
  </si>
  <si>
    <t>Invesco S&amp;P 500 Equal Weight ETF</t>
  </si>
  <si>
    <t>Holding diversificado liderado por Warren Buffett.</t>
  </si>
  <si>
    <t>Replica el precio del oro físico.</t>
  </si>
  <si>
    <t>Red global de pagos electrónicos.</t>
  </si>
  <si>
    <t>Cadena global de restaurantes.</t>
  </si>
  <si>
    <t>Semiconductores e infraestructura para Inteligencia Artificial.</t>
  </si>
  <si>
    <t>E-commerce y fintech.</t>
  </si>
  <si>
    <t>Servicios tecnológicos y transformación digital.</t>
  </si>
  <si>
    <t>RSP</t>
  </si>
  <si>
    <t>Activos</t>
  </si>
  <si>
    <t>Índices Diversificados USA</t>
  </si>
  <si>
    <t>BRKB + Visa + McDonald's</t>
  </si>
  <si>
    <t>Cobertura / Protección</t>
  </si>
  <si>
    <t>Growth LATAM</t>
  </si>
  <si>
    <t>Replica las 500 mayores compañías de EE.UU.</t>
  </si>
  <si>
    <t>Núcleo de exposición al mercado estadounidense. Incluye líderes globales de tecnología, salud, consumo, industria y finanzas.</t>
  </si>
  <si>
    <t>Proporciona diversificación instantánea y reduce el riesgo específico de selección de acciones.</t>
  </si>
  <si>
    <t>Replica el S&amp;P 500 con igual ponderación para cada compañía.</t>
  </si>
  <si>
    <t>Reduce la concentración en las mega-cap tecnológicas y aumenta la exposición al resto de la economía estadounidense.</t>
  </si>
  <si>
    <t>Complementa al SPY y mejora la diversificación interna del portafolio.</t>
  </si>
  <si>
    <t>SPDR Dow Jones Industrial Average ETF</t>
  </si>
  <si>
    <t>Replica el índice Dow Jones Industrial Average.</t>
  </si>
  <si>
    <t>Participaciones en seguros, energía, infraestructura, transporte y compañías de alta calidad.</t>
  </si>
  <si>
    <t>Excelente asignación de capital, fortaleza financiera y menor volatilidad relativa.</t>
  </si>
  <si>
    <t>Negocio con fuertes barreras de entrada, elevada rentabilidad y crecimiento estructural asociado a la digitalización de pagos.</t>
  </si>
  <si>
    <t>Combina calidad, estabilidad y crecimiento de largo plazo.</t>
  </si>
  <si>
    <t>Modelo de franquicias con ingresos altamente predecibles y marca líder mundial.</t>
  </si>
  <si>
    <t>Activo defensivo de calidad, resiliente frente a distintos ciclos económicos.</t>
  </si>
  <si>
    <t>Líder mundial en GPUs, centros de datos e infraestructura para IA.</t>
  </si>
  <si>
    <t>Principal exposición a la tendencia estructural de inteligencia artificial.</t>
  </si>
  <si>
    <t>Líder regional en comercio electrónico y pagos digitales mediante Mercado Pago.</t>
  </si>
  <si>
    <t>Captura el crecimiento estructural de Latinoamérica a través de una empresa dominante.</t>
  </si>
  <si>
    <t>Compañía con presencia global especializada en innovación digital, IA y desarrollo tecnológico.</t>
  </si>
  <si>
    <t>Complementa la exposición tecnológica con un modelo de negocio diferente al de las grandes tecnológicas estadounidenses.</t>
  </si>
  <si>
    <t>SPY + RSP + DIA</t>
  </si>
  <si>
    <t>Renta Fija</t>
  </si>
  <si>
    <t>Bonos soberanos y obligaciones negociables. Ver detalle en solapa "Renta Fija pago mensual"</t>
  </si>
  <si>
    <t>LOC5D</t>
  </si>
  <si>
    <t>PLC5D</t>
  </si>
  <si>
    <t>PNDCD</t>
  </si>
  <si>
    <t>VSCVD</t>
  </si>
  <si>
    <t>YM34D</t>
  </si>
  <si>
    <t>AAA (FIX)</t>
  </si>
  <si>
    <t>Duration promedio</t>
  </si>
  <si>
    <t>Gob. Argentino</t>
  </si>
  <si>
    <t>Cresud</t>
  </si>
  <si>
    <t>CS47D</t>
  </si>
  <si>
    <t>Agro</t>
  </si>
  <si>
    <t>Incorporaciones</t>
  </si>
  <si>
    <t>NDT25O</t>
  </si>
  <si>
    <t>Gob. Neuquén</t>
  </si>
  <si>
    <t>Subsoberano</t>
  </si>
  <si>
    <t>A-(arg)</t>
  </si>
  <si>
    <t>Refuerza el perfil defensivo con compañías maduras y consolidadas.</t>
  </si>
  <si>
    <t>Aporta descorrelación y protección patrimonial en escenarios de estrés.</t>
  </si>
  <si>
    <t>Exposición a 30 empresas blue-chip de larga trayectoria y elevada generación de caja.</t>
  </si>
  <si>
    <t>Activo refugio utilizado como cobertura frente a inflación, crisis financieras y eventos geopolíticos. Disponible vía CEDEAR.</t>
  </si>
  <si>
    <t>Renta anual esperada *</t>
  </si>
  <si>
    <t>Renta mensualizada *</t>
  </si>
  <si>
    <t>Certificados de Depósito Argentinos. Es una buena y barata forma de entrar al mercado norteamericano. Ver alternativas en la solapa "CEDEAR"</t>
  </si>
  <si>
    <r>
      <t xml:space="preserve">BALANZ Equity Selection - Fondo de Renta Variable concentrado 100% en acciones argentinas. </t>
    </r>
    <r>
      <rPr>
        <b/>
        <sz val="11"/>
        <color theme="1"/>
        <rFont val="Calibri"/>
        <family val="2"/>
      </rPr>
      <t>Rendimiento YTD: 8.31% (vs 3.6% MERVAL).</t>
    </r>
    <r>
      <rPr>
        <sz val="11"/>
        <color theme="1"/>
        <rFont val="Calibri"/>
        <family val="2"/>
        <scheme val="minor"/>
      </rPr>
      <t xml:space="preserve"> Rendimiento 2025: 17.1% (vs 16% MERVAL). FCI en pesos. Se asume que como mínimo el mercado debería ganarle a la inflación proyectada (30% según REM Junio 2026).</t>
    </r>
  </si>
  <si>
    <t>FCI CER</t>
  </si>
  <si>
    <t>FCI acciones</t>
  </si>
  <si>
    <t>Bonos soberanos</t>
  </si>
  <si>
    <t>ON's</t>
  </si>
  <si>
    <t>Mes</t>
  </si>
  <si>
    <t>Renta</t>
  </si>
  <si>
    <t>https://balanz.com/inversiones/fondos/</t>
  </si>
  <si>
    <t>Growth Tech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</si>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</sst>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%"/>
    <numFmt numFmtId="165" formatCode="_-* #,##0.0000_-;\-* #,##0.0000_-;_-* &quot;-&quot;??_-;_-@_-"/>
    <numFmt numFmtId="166" formatCode="_-* #,##0_-;\-* #,##0_-;_-* &quot;-&quot;??_-;_-@_-"/>
    <numFmt numFmtId="175" formatCode="#,##0_ ;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206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2">
    <xf numFmtId="0" fontId="0" fillId="0" borderId="0" xfId="0"/>
    <xf numFmtId="43" fontId="0" fillId="0" borderId="0" xfId="1" applyFont="1"/>
    <xf numFmtId="9" fontId="0" fillId="0" borderId="0" xfId="2" applyFont="1"/>
    <xf numFmtId="0" fontId="0" fillId="0" borderId="0" xfId="0" applyAlignment="1">
      <alignment vertical="center"/>
    </xf>
    <xf numFmtId="9" fontId="0" fillId="0" borderId="1" xfId="2" applyFont="1" applyBorder="1" applyAlignment="1">
      <alignment vertical="center"/>
    </xf>
    <xf numFmtId="43" fontId="0" fillId="0" borderId="1" xfId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11" fontId="2" fillId="2" borderId="1" xfId="0" applyNumberFormat="1" applyFont="1" applyFill="1" applyBorder="1" applyAlignment="1">
      <alignment horizontal="center"/>
    </xf>
    <xf numFmtId="11" fontId="2" fillId="2" borderId="1" xfId="0" applyNumberFormat="1" applyFont="1" applyFill="1" applyBorder="1" applyAlignment="1">
      <alignment horizontal="center" vertical="center"/>
    </xf>
    <xf numFmtId="43" fontId="2" fillId="2" borderId="2" xfId="1" applyFont="1" applyFill="1" applyBorder="1"/>
    <xf numFmtId="0" fontId="0" fillId="0" borderId="1" xfId="0" applyBorder="1" applyAlignment="1">
      <alignment wrapText="1"/>
    </xf>
    <xf numFmtId="0" fontId="3" fillId="0" borderId="0" xfId="0" applyFont="1"/>
    <xf numFmtId="0" fontId="4" fillId="0" borderId="0" xfId="3"/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3" fillId="0" borderId="0" xfId="0" applyFont="1" applyAlignment="1">
      <alignment vertical="center"/>
    </xf>
    <xf numFmtId="9" fontId="2" fillId="2" borderId="3" xfId="2" applyFont="1" applyFill="1" applyBorder="1"/>
    <xf numFmtId="0" fontId="0" fillId="0" borderId="0" xfId="0" applyAlignment="1">
      <alignment vertical="center" wrapText="1"/>
    </xf>
    <xf numFmtId="43" fontId="0" fillId="0" borderId="4" xfId="0" applyNumberFormat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0" xfId="0" applyNumberFormat="1"/>
    <xf numFmtId="164" fontId="0" fillId="0" borderId="0" xfId="2" applyNumberFormat="1" applyFont="1"/>
    <xf numFmtId="165" fontId="0" fillId="0" borderId="0" xfId="0" applyNumberFormat="1"/>
    <xf numFmtId="10" fontId="2" fillId="0" borderId="0" xfId="2" applyNumberFormat="1" applyFont="1"/>
    <xf numFmtId="166" fontId="2" fillId="0" borderId="11" xfId="0" applyNumberFormat="1" applyFont="1" applyBorder="1"/>
    <xf numFmtId="166" fontId="0" fillId="0" borderId="0" xfId="1" applyNumberFormat="1" applyFont="1"/>
    <xf numFmtId="166" fontId="0" fillId="0" borderId="0" xfId="1" applyNumberFormat="1" applyFont="1" applyBorder="1"/>
    <xf numFmtId="10" fontId="0" fillId="0" borderId="0" xfId="2" applyNumberFormat="1" applyFont="1"/>
    <xf numFmtId="166" fontId="0" fillId="0" borderId="0" xfId="2" applyNumberFormat="1" applyFont="1" applyAlignment="1">
      <alignment horizontal="center"/>
    </xf>
    <xf numFmtId="3" fontId="0" fillId="0" borderId="0" xfId="1" applyNumberFormat="1" applyFont="1" applyAlignment="1">
      <alignment horizontal="center"/>
    </xf>
    <xf numFmtId="0" fontId="2" fillId="0" borderId="0" xfId="0" applyFont="1"/>
    <xf numFmtId="9" fontId="2" fillId="0" borderId="0" xfId="2" applyFont="1"/>
    <xf numFmtId="10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0" fontId="2" fillId="3" borderId="10" xfId="2" applyNumberFormat="1" applyFont="1" applyFill="1" applyBorder="1"/>
    <xf numFmtId="10" fontId="2" fillId="3" borderId="8" xfId="2" applyNumberFormat="1" applyFont="1" applyFill="1" applyBorder="1"/>
    <xf numFmtId="10" fontId="0" fillId="3" borderId="12" xfId="2" applyNumberFormat="1" applyFont="1" applyFill="1" applyBorder="1"/>
    <xf numFmtId="10" fontId="0" fillId="3" borderId="13" xfId="2" applyNumberFormat="1" applyFont="1" applyFill="1" applyBorder="1"/>
    <xf numFmtId="166" fontId="2" fillId="3" borderId="12" xfId="2" applyNumberFormat="1" applyFont="1" applyFill="1" applyBorder="1"/>
    <xf numFmtId="10" fontId="2" fillId="3" borderId="13" xfId="2" applyNumberFormat="1" applyFont="1" applyFill="1" applyBorder="1"/>
    <xf numFmtId="14" fontId="0" fillId="0" borderId="0" xfId="0" applyNumberFormat="1" applyAlignment="1">
      <alignment horizontal="center"/>
    </xf>
    <xf numFmtId="166" fontId="2" fillId="3" borderId="7" xfId="1" applyNumberFormat="1" applyFont="1" applyFill="1" applyBorder="1"/>
    <xf numFmtId="0" fontId="2" fillId="3" borderId="5" xfId="0" applyFont="1" applyFill="1" applyBorder="1"/>
    <xf numFmtId="43" fontId="2" fillId="0" borderId="1" xfId="1" applyFont="1" applyBorder="1" applyAlignment="1">
      <alignment horizontal="center" vertical="center"/>
    </xf>
    <xf numFmtId="0" fontId="0" fillId="4" borderId="0" xfId="0" applyFill="1" applyAlignment="1">
      <alignment wrapText="1"/>
    </xf>
    <xf numFmtId="4" fontId="0" fillId="0" borderId="0" xfId="1" applyNumberFormat="1" applyFon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4" fontId="0" fillId="0" borderId="16" xfId="1" applyNumberFormat="1" applyFont="1" applyBorder="1" applyAlignment="1">
      <alignment horizontal="center"/>
    </xf>
    <xf numFmtId="4" fontId="0" fillId="0" borderId="0" xfId="1" applyNumberFormat="1" applyFont="1" applyBorder="1" applyAlignment="1">
      <alignment horizontal="center"/>
    </xf>
    <xf numFmtId="4" fontId="0" fillId="0" borderId="17" xfId="1" applyNumberFormat="1" applyFont="1" applyBorder="1" applyAlignment="1">
      <alignment horizontal="center"/>
    </xf>
    <xf numFmtId="10" fontId="0" fillId="0" borderId="16" xfId="2" applyNumberFormat="1" applyFont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0" fontId="0" fillId="0" borderId="17" xfId="2" applyNumberFormat="1" applyFont="1" applyBorder="1" applyAlignment="1">
      <alignment horizontal="center"/>
    </xf>
    <xf numFmtId="3" fontId="0" fillId="0" borderId="16" xfId="1" applyNumberFormat="1" applyFont="1" applyBorder="1" applyAlignment="1">
      <alignment horizontal="center"/>
    </xf>
    <xf numFmtId="3" fontId="0" fillId="0" borderId="0" xfId="1" applyNumberFormat="1" applyFont="1" applyBorder="1" applyAlignment="1">
      <alignment horizontal="center"/>
    </xf>
    <xf numFmtId="3" fontId="0" fillId="0" borderId="17" xfId="1" applyNumberFormat="1" applyFont="1" applyBorder="1" applyAlignment="1">
      <alignment horizontal="center"/>
    </xf>
    <xf numFmtId="9" fontId="0" fillId="0" borderId="16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17" xfId="2" applyFont="1" applyBorder="1" applyAlignment="1">
      <alignment horizontal="center"/>
    </xf>
    <xf numFmtId="3" fontId="0" fillId="0" borderId="18" xfId="1" applyNumberFormat="1" applyFont="1" applyBorder="1" applyAlignment="1">
      <alignment horizontal="center"/>
    </xf>
    <xf numFmtId="3" fontId="0" fillId="0" borderId="19" xfId="1" applyNumberFormat="1" applyFont="1" applyBorder="1" applyAlignment="1">
      <alignment horizontal="center"/>
    </xf>
    <xf numFmtId="3" fontId="0" fillId="0" borderId="20" xfId="1" applyNumberFormat="1" applyFont="1" applyBorder="1" applyAlignment="1">
      <alignment horizontal="center"/>
    </xf>
    <xf numFmtId="9" fontId="0" fillId="0" borderId="1" xfId="2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15" xfId="0" applyFont="1" applyFill="1" applyBorder="1" applyAlignment="1">
      <alignment horizontal="center" wrapText="1"/>
    </xf>
    <xf numFmtId="14" fontId="0" fillId="0" borderId="0" xfId="1" applyNumberFormat="1" applyFont="1" applyAlignment="1">
      <alignment horizontal="center"/>
    </xf>
    <xf numFmtId="49" fontId="0" fillId="0" borderId="0" xfId="1" applyNumberFormat="1" applyFont="1" applyAlignment="1">
      <alignment horizontal="center"/>
    </xf>
    <xf numFmtId="49" fontId="0" fillId="0" borderId="17" xfId="1" applyNumberFormat="1" applyFont="1" applyBorder="1" applyAlignment="1">
      <alignment horizontal="center"/>
    </xf>
    <xf numFmtId="43" fontId="2" fillId="0" borderId="5" xfId="1" applyFont="1" applyBorder="1" applyAlignment="1">
      <alignment horizontal="center" vertical="center" wrapText="1"/>
    </xf>
    <xf numFmtId="43" fontId="2" fillId="0" borderId="6" xfId="1" applyFont="1" applyBorder="1" applyAlignment="1">
      <alignment horizontal="center" vertical="center" wrapText="1"/>
    </xf>
    <xf numFmtId="43" fontId="2" fillId="0" borderId="7" xfId="1" applyFont="1" applyBorder="1" applyAlignment="1">
      <alignment horizontal="center" vertical="center" wrapText="1"/>
    </xf>
    <xf numFmtId="43" fontId="2" fillId="0" borderId="13" xfId="1" applyFont="1" applyBorder="1" applyAlignment="1">
      <alignment horizontal="center" vertical="center" wrapText="1"/>
    </xf>
    <xf numFmtId="43" fontId="2" fillId="0" borderId="0" xfId="1" applyFont="1" applyBorder="1" applyAlignment="1">
      <alignment horizontal="center" vertical="center" wrapText="1"/>
    </xf>
    <xf numFmtId="43" fontId="2" fillId="0" borderId="12" xfId="1" applyFont="1" applyBorder="1" applyAlignment="1">
      <alignment horizontal="center" vertical="center" wrapText="1"/>
    </xf>
    <xf numFmtId="43" fontId="2" fillId="0" borderId="8" xfId="1" applyFont="1" applyBorder="1" applyAlignment="1">
      <alignment horizontal="center" vertical="center" wrapText="1"/>
    </xf>
    <xf numFmtId="43" fontId="2" fillId="0" borderId="9" xfId="1" applyFont="1" applyBorder="1" applyAlignment="1">
      <alignment horizontal="center" vertical="center" wrapText="1"/>
    </xf>
    <xf numFmtId="43" fontId="2" fillId="0" borderId="10" xfId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Fill="1"/>
    <xf numFmtId="166" fontId="0" fillId="0" borderId="0" xfId="1" applyNumberFormat="1" applyFont="1" applyFill="1"/>
    <xf numFmtId="164" fontId="0" fillId="0" borderId="0" xfId="2" applyNumberFormat="1" applyFont="1" applyFill="1"/>
    <xf numFmtId="166" fontId="2" fillId="0" borderId="11" xfId="1" applyNumberFormat="1" applyFont="1" applyFill="1" applyBorder="1"/>
    <xf numFmtId="9" fontId="2" fillId="0" borderId="11" xfId="2" applyFont="1" applyFill="1" applyBorder="1"/>
    <xf numFmtId="3" fontId="0" fillId="0" borderId="0" xfId="1" applyNumberFormat="1" applyFont="1" applyFill="1" applyAlignment="1">
      <alignment horizontal="center"/>
    </xf>
    <xf numFmtId="14" fontId="0" fillId="0" borderId="0" xfId="0" applyNumberFormat="1"/>
    <xf numFmtId="43" fontId="2" fillId="3" borderId="12" xfId="1" applyNumberFormat="1" applyFont="1" applyFill="1" applyBorder="1"/>
    <xf numFmtId="43" fontId="0" fillId="0" borderId="0" xfId="1" applyFont="1" applyFill="1"/>
    <xf numFmtId="10" fontId="1" fillId="0" borderId="0" xfId="2" applyNumberFormat="1" applyFont="1"/>
    <xf numFmtId="0" fontId="0" fillId="0" borderId="0" xfId="0" applyFont="1" applyFill="1"/>
    <xf numFmtId="0" fontId="0" fillId="0" borderId="0" xfId="0" applyFont="1"/>
    <xf numFmtId="3" fontId="0" fillId="0" borderId="11" xfId="1" applyNumberFormat="1" applyFont="1" applyBorder="1" applyAlignment="1">
      <alignment horizontal="center"/>
    </xf>
    <xf numFmtId="0" fontId="6" fillId="4" borderId="0" xfId="0" applyFont="1" applyFill="1" applyAlignment="1">
      <alignment horizontal="center" wrapText="1"/>
    </xf>
    <xf numFmtId="0" fontId="3" fillId="0" borderId="0" xfId="0" applyFont="1" applyAlignment="1">
      <alignment horizontal="right"/>
    </xf>
    <xf numFmtId="175" fontId="0" fillId="0" borderId="0" xfId="1" applyNumberFormat="1" applyFont="1" applyAlignment="1">
      <alignment horizontal="center" vertical="center"/>
    </xf>
    <xf numFmtId="175" fontId="2" fillId="2" borderId="3" xfId="1" applyNumberFormat="1" applyFont="1" applyFill="1" applyBorder="1" applyAlignment="1">
      <alignment horizontal="center"/>
    </xf>
    <xf numFmtId="175" fontId="2" fillId="2" borderId="2" xfId="1" applyNumberFormat="1" applyFont="1" applyFill="1" applyBorder="1" applyAlignment="1">
      <alignment horizontal="center"/>
    </xf>
    <xf numFmtId="166" fontId="0" fillId="0" borderId="0" xfId="0" applyNumberFormat="1" applyFill="1"/>
    <xf numFmtId="164" fontId="0" fillId="0" borderId="0" xfId="2" applyNumberFormat="1" applyFont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1" fontId="7" fillId="5" borderId="1" xfId="0" applyNumberFormat="1" applyFont="1" applyFill="1" applyBorder="1" applyAlignment="1">
      <alignment horizontal="center" vertical="center"/>
    </xf>
    <xf numFmtId="11" fontId="7" fillId="5" borderId="1" xfId="0" applyNumberFormat="1" applyFont="1" applyFill="1" applyBorder="1" applyAlignment="1">
      <alignment horizontal="center" wrapText="1"/>
    </xf>
    <xf numFmtId="11" fontId="7" fillId="5" borderId="1" xfId="0" applyNumberFormat="1" applyFont="1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Propuesta!$C$15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0E-4FEF-8B70-7EA26765C7C6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C0E-4FEF-8B70-7EA26765C7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0E-4FEF-8B70-7EA26765C7C6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C0E-4FEF-8B70-7EA26765C7C6}"/>
              </c:ext>
            </c:extLst>
          </c:dPt>
          <c:dPt>
            <c:idx val="4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0E-4FEF-8B70-7EA26765C7C6}"/>
              </c:ext>
            </c:extLst>
          </c:dPt>
          <c:dLbls>
            <c:dLbl>
              <c:idx val="0"/>
              <c:layout>
                <c:manualLayout>
                  <c:x val="-1.6989999971026341E-2"/>
                  <c:y val="-4.477897861659737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0E-4FEF-8B70-7EA26765C7C6}"/>
                </c:ext>
              </c:extLst>
            </c:dLbl>
            <c:dLbl>
              <c:idx val="1"/>
              <c:layout>
                <c:manualLayout>
                  <c:x val="3.567808498156589E-2"/>
                  <c:y val="-5.34675833234205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C0E-4FEF-8B70-7EA26765C7C6}"/>
                </c:ext>
              </c:extLst>
            </c:dLbl>
            <c:dLbl>
              <c:idx val="2"/>
              <c:layout>
                <c:manualLayout>
                  <c:x val="6.0365089427192327E-2"/>
                  <c:y val="-1.423521886207105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0E-4FEF-8B70-7EA26765C7C6}"/>
                </c:ext>
              </c:extLst>
            </c:dLbl>
            <c:dLbl>
              <c:idx val="3"/>
              <c:layout>
                <c:manualLayout>
                  <c:x val="2.4357543466966305E-2"/>
                  <c:y val="9.447254257595452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0E-4FEF-8B70-7EA26765C7C6}"/>
                </c:ext>
              </c:extLst>
            </c:dLbl>
            <c:dLbl>
              <c:idx val="4"/>
              <c:layout>
                <c:manualLayout>
                  <c:x val="-7.2951855999094817E-2"/>
                  <c:y val="-2.0159951539691593E-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0E-4FEF-8B70-7EA26765C7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Propuesta!$B$16:$B$20</c:f>
              <c:strCache>
                <c:ptCount val="5"/>
                <c:pt idx="0">
                  <c:v>FCI CER</c:v>
                </c:pt>
                <c:pt idx="1">
                  <c:v>FCI acciones</c:v>
                </c:pt>
                <c:pt idx="2">
                  <c:v>Cedears</c:v>
                </c:pt>
                <c:pt idx="3">
                  <c:v>Bonos soberanos</c:v>
                </c:pt>
                <c:pt idx="4">
                  <c:v>ON's</c:v>
                </c:pt>
              </c:strCache>
            </c:strRef>
          </c:cat>
          <c:val>
            <c:numRef>
              <c:f>Propuesta!$C$16:$C$20</c:f>
              <c:numCache>
                <c:formatCode>0%</c:formatCode>
                <c:ptCount val="5"/>
                <c:pt idx="0">
                  <c:v>0.1</c:v>
                </c:pt>
                <c:pt idx="1">
                  <c:v>0.05</c:v>
                </c:pt>
                <c:pt idx="2">
                  <c:v>0.1</c:v>
                </c:pt>
                <c:pt idx="3">
                  <c:v>0.1020375</c:v>
                </c:pt>
                <c:pt idx="4">
                  <c:v>0.6479625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E-4FEF-8B70-7EA26765C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77521231407886"/>
          <c:y val="0.12278367369307491"/>
          <c:w val="0.52001029551828215"/>
          <c:h val="0.81471633979200186"/>
        </c:manualLayout>
      </c:layout>
      <c:pieChart>
        <c:varyColors val="1"/>
        <c:ser>
          <c:idx val="0"/>
          <c:order val="0"/>
          <c:tx>
            <c:strRef>
              <c:f>'Renta Fija pago mensual'!$AG$12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951-44A9-A0D5-69782DF40A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951-44A9-A0D5-69782DF40A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951-44A9-A0D5-69782DF40A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951-44A9-A0D5-69782DF40A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951-44A9-A0D5-69782DF40A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951-44A9-A0D5-69782DF40A7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951-44A9-A0D5-69782DF40A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951-44A9-A0D5-69782DF40A7C}"/>
              </c:ext>
            </c:extLst>
          </c:dPt>
          <c:dLbls>
            <c:dLbl>
              <c:idx val="0"/>
              <c:layout>
                <c:manualLayout>
                  <c:x val="4.8367452500973511E-2"/>
                  <c:y val="-1.70231293879091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951-44A9-A0D5-69782DF40A7C}"/>
                </c:ext>
              </c:extLst>
            </c:dLbl>
            <c:dLbl>
              <c:idx val="1"/>
              <c:layout>
                <c:manualLayout>
                  <c:x val="-8.0973232203323548E-3"/>
                  <c:y val="-1.00039851098861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951-44A9-A0D5-69782DF40A7C}"/>
                </c:ext>
              </c:extLst>
            </c:dLbl>
            <c:dLbl>
              <c:idx val="2"/>
              <c:layout>
                <c:manualLayout>
                  <c:x val="-2.0325110322895894E-2"/>
                  <c:y val="2.369360352105063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951-44A9-A0D5-69782DF40A7C}"/>
                </c:ext>
              </c:extLst>
            </c:dLbl>
            <c:dLbl>
              <c:idx val="3"/>
              <c:layout>
                <c:manualLayout>
                  <c:x val="-3.4954221024781407E-2"/>
                  <c:y val="5.796641158655006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951-44A9-A0D5-69782DF40A7C}"/>
                </c:ext>
              </c:extLst>
            </c:dLbl>
            <c:dLbl>
              <c:idx val="4"/>
              <c:layout>
                <c:manualLayout>
                  <c:x val="-3.7023102393859805E-3"/>
                  <c:y val="-2.053572218411639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951-44A9-A0D5-69782DF40A7C}"/>
                </c:ext>
              </c:extLst>
            </c:dLbl>
            <c:dLbl>
              <c:idx val="5"/>
              <c:layout>
                <c:manualLayout>
                  <c:x val="-1.6658192649033031E-2"/>
                  <c:y val="4.3245022981807232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951-44A9-A0D5-69782DF40A7C}"/>
                </c:ext>
              </c:extLst>
            </c:dLbl>
            <c:dLbl>
              <c:idx val="6"/>
              <c:layout>
                <c:manualLayout>
                  <c:x val="5.2537991233660248E-3"/>
                  <c:y val="-5.108837515181499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951-44A9-A0D5-69782DF40A7C}"/>
                </c:ext>
              </c:extLst>
            </c:dLbl>
            <c:dLbl>
              <c:idx val="7"/>
              <c:layout>
                <c:manualLayout>
                  <c:x val="0.10806231625474494"/>
                  <c:y val="-2.093833263606496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951-44A9-A0D5-69782DF40A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'Renta Fija pago mensual'!$AE$13:$AE$20</c:f>
              <c:strCache>
                <c:ptCount val="8"/>
                <c:pt idx="0">
                  <c:v>O&amp;G</c:v>
                </c:pt>
                <c:pt idx="1">
                  <c:v>Agro</c:v>
                </c:pt>
                <c:pt idx="2">
                  <c:v>Soberano</c:v>
                </c:pt>
                <c:pt idx="3">
                  <c:v>Financiera</c:v>
                </c:pt>
                <c:pt idx="4">
                  <c:v>Servicios</c:v>
                </c:pt>
                <c:pt idx="5">
                  <c:v>Energías Renovables</c:v>
                </c:pt>
                <c:pt idx="6">
                  <c:v>Construcción</c:v>
                </c:pt>
                <c:pt idx="7">
                  <c:v>Subsoberano</c:v>
                </c:pt>
              </c:strCache>
            </c:strRef>
          </c:cat>
          <c:val>
            <c:numRef>
              <c:f>'Renta Fija pago mensual'!$AG$13:$AG$20</c:f>
              <c:numCache>
                <c:formatCode>0%</c:formatCode>
                <c:ptCount val="8"/>
                <c:pt idx="0">
                  <c:v>0.47532080560480056</c:v>
                </c:pt>
                <c:pt idx="1">
                  <c:v>0.15009361525502782</c:v>
                </c:pt>
                <c:pt idx="2">
                  <c:v>0.11724753065732825</c:v>
                </c:pt>
                <c:pt idx="3">
                  <c:v>9.0099258229166451E-2</c:v>
                </c:pt>
                <c:pt idx="4">
                  <c:v>6.1703557046468849E-2</c:v>
                </c:pt>
                <c:pt idx="5">
                  <c:v>5.9319294832848313E-2</c:v>
                </c:pt>
                <c:pt idx="6">
                  <c:v>3.3727457287317693E-2</c:v>
                </c:pt>
                <c:pt idx="7">
                  <c:v>1.2488481087041784E-2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951-44A9-A0D5-69782DF40A7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Cupones renta fija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'Renta Fija pago mensual'!$E$34</c:f>
              <c:strCache>
                <c:ptCount val="1"/>
                <c:pt idx="0">
                  <c:v>Renta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'Renta Fija pago mensual'!$D$35:$D$46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'Renta Fija pago mensual'!$E$35:$E$46</c:f>
              <c:numCache>
                <c:formatCode>_-* #,##0_-;\-* #,##0_-;_-* "-"??_-;_-@_-</c:formatCode>
                <c:ptCount val="12"/>
                <c:pt idx="0">
                  <c:v>381.18</c:v>
                </c:pt>
                <c:pt idx="1">
                  <c:v>390.5</c:v>
                </c:pt>
                <c:pt idx="2">
                  <c:v>374.375</c:v>
                </c:pt>
                <c:pt idx="3">
                  <c:v>440.03710000000001</c:v>
                </c:pt>
                <c:pt idx="4">
                  <c:v>481.125</c:v>
                </c:pt>
                <c:pt idx="5">
                  <c:v>567.375</c:v>
                </c:pt>
                <c:pt idx="6">
                  <c:v>381.18</c:v>
                </c:pt>
                <c:pt idx="7">
                  <c:v>390.5</c:v>
                </c:pt>
                <c:pt idx="8">
                  <c:v>374.375</c:v>
                </c:pt>
                <c:pt idx="9">
                  <c:v>440.03710000000001</c:v>
                </c:pt>
                <c:pt idx="10">
                  <c:v>481.125</c:v>
                </c:pt>
                <c:pt idx="11">
                  <c:v>567.375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C-44F6-A1D7-4AAB182F6F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333095999"/>
        <c:axId val="1333079679"/>
      </c:barChart>
      <c:catAx>
        <c:axId val="133309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079679"/>
        <c:crosses val="autoZero"/>
        <c:auto val="1"/>
        <c:lblAlgn val="ctr"/>
        <c:lblOffset val="100"/>
        <c:noMultiLvlLbl val="0"/>
      </c:catAx>
      <c:valAx>
        <c:axId val="133307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09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640976</xdr:colOff>
      <xdr:row>23</xdr:row>
      <xdr:rowOff>35858</xdr:rowOff>
    </xdr:from>
    <xdr:to>
      <xdr:col>4</xdr:col>
      <xdr:colOff>5477434</xdr:colOff>
      <xdr:row>46</xdr:row>
      <xdr:rowOff>98611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3BBF6D-7F2D-B933-FED7-E459CA05D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1452283</xdr:colOff>
      <xdr:row>35</xdr:row>
      <xdr:rowOff>161365</xdr:rowOff>
    </xdr:from>
    <xdr:ext cx="539378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1C3E58-6EB3-F0F8-BAD7-73A2083E6844}"/>
            </a:ext>
          </a:extLst>
        </xdr:cNvPr>
        <xdr:cNvSpPr txBox="1"/>
      </xdr:nvSpPr>
      <xdr:spPr>
        <a:xfrm>
          <a:off x="5074024" y="7709647"/>
          <a:ext cx="53937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bg1"/>
              </a:solidFill>
            </a:rPr>
            <a:t>65%</a:t>
          </a:r>
        </a:p>
      </xdr:txBody>
    </xdr:sp>
    <xdr:clientData/>
  </xdr:oneCellAnchor>
  <xdr:oneCellAnchor>
    <xdr:from>
      <xdr:col>4</xdr:col>
      <xdr:colOff>2958354</xdr:colOff>
      <xdr:row>35</xdr:row>
      <xdr:rowOff>125506</xdr:rowOff>
    </xdr:from>
    <xdr:ext cx="542264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B322A6E-6F3A-4922-BC7B-2F07ADEF8546}"/>
            </a:ext>
          </a:extLst>
        </xdr:cNvPr>
        <xdr:cNvSpPr txBox="1"/>
      </xdr:nvSpPr>
      <xdr:spPr>
        <a:xfrm>
          <a:off x="6580095" y="7673788"/>
          <a:ext cx="54226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bg1"/>
              </a:solidFill>
            </a:rPr>
            <a:t>10%</a:t>
          </a:r>
        </a:p>
      </xdr:txBody>
    </xdr:sp>
    <xdr:clientData/>
  </xdr:oneCellAnchor>
  <xdr:oneCellAnchor>
    <xdr:from>
      <xdr:col>4</xdr:col>
      <xdr:colOff>3048001</xdr:colOff>
      <xdr:row>31</xdr:row>
      <xdr:rowOff>143435</xdr:rowOff>
    </xdr:from>
    <xdr:ext cx="542264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FB40762-7FC2-4CF5-975B-E8FCEC597177}"/>
            </a:ext>
          </a:extLst>
        </xdr:cNvPr>
        <xdr:cNvSpPr txBox="1"/>
      </xdr:nvSpPr>
      <xdr:spPr>
        <a:xfrm>
          <a:off x="6669742" y="6974541"/>
          <a:ext cx="54226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bg1"/>
              </a:solidFill>
            </a:rPr>
            <a:t>10%</a:t>
          </a:r>
        </a:p>
      </xdr:txBody>
    </xdr:sp>
    <xdr:clientData/>
  </xdr:oneCellAnchor>
  <xdr:oneCellAnchor>
    <xdr:from>
      <xdr:col>4</xdr:col>
      <xdr:colOff>2904566</xdr:colOff>
      <xdr:row>28</xdr:row>
      <xdr:rowOff>89647</xdr:rowOff>
    </xdr:from>
    <xdr:ext cx="438262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57E862D-F263-4EDF-8BF1-183EBF231702}"/>
            </a:ext>
          </a:extLst>
        </xdr:cNvPr>
        <xdr:cNvSpPr txBox="1"/>
      </xdr:nvSpPr>
      <xdr:spPr>
        <a:xfrm>
          <a:off x="6526307" y="6382871"/>
          <a:ext cx="43826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bg1"/>
              </a:solidFill>
            </a:rPr>
            <a:t>5%</a:t>
          </a:r>
        </a:p>
      </xdr:txBody>
    </xdr:sp>
    <xdr:clientData/>
  </xdr:oneCellAnchor>
  <xdr:oneCellAnchor>
    <xdr:from>
      <xdr:col>4</xdr:col>
      <xdr:colOff>2312895</xdr:colOff>
      <xdr:row>27</xdr:row>
      <xdr:rowOff>44825</xdr:rowOff>
    </xdr:from>
    <xdr:ext cx="542264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2FE0EBF-7233-4404-954E-EA9EB96C6849}"/>
            </a:ext>
          </a:extLst>
        </xdr:cNvPr>
        <xdr:cNvSpPr txBox="1"/>
      </xdr:nvSpPr>
      <xdr:spPr>
        <a:xfrm>
          <a:off x="5934636" y="6158754"/>
          <a:ext cx="54226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bg1"/>
              </a:solidFill>
            </a:rPr>
            <a:t>10%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</xdr:row>
      <xdr:rowOff>179293</xdr:rowOff>
    </xdr:from>
    <xdr:to>
      <xdr:col>46</xdr:col>
      <xdr:colOff>555812</xdr:colOff>
      <xdr:row>29</xdr:row>
      <xdr:rowOff>107575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3BE7DD-63B2-46C7-87C5-574045D8D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42</xdr:col>
      <xdr:colOff>17929</xdr:colOff>
      <xdr:row>16</xdr:row>
      <xdr:rowOff>107577</xdr:rowOff>
    </xdr:from>
    <xdr:ext cx="542264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AE7063D-41A3-464E-B713-166E6D7708EE}"/>
            </a:ext>
          </a:extLst>
        </xdr:cNvPr>
        <xdr:cNvSpPr txBox="1"/>
      </xdr:nvSpPr>
      <xdr:spPr>
        <a:xfrm>
          <a:off x="31860564" y="2994212"/>
          <a:ext cx="54226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bg1"/>
              </a:solidFill>
            </a:rPr>
            <a:t>48%</a:t>
          </a:r>
        </a:p>
      </xdr:txBody>
    </xdr:sp>
    <xdr:clientData/>
  </xdr:oneCellAnchor>
  <xdr:oneCellAnchor>
    <xdr:from>
      <xdr:col>39</xdr:col>
      <xdr:colOff>502023</xdr:colOff>
      <xdr:row>22</xdr:row>
      <xdr:rowOff>98612</xdr:rowOff>
    </xdr:from>
    <xdr:ext cx="542264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FADFF1-02B9-4189-8ECA-4BF8F89BB6FA}"/>
            </a:ext>
          </a:extLst>
        </xdr:cNvPr>
        <xdr:cNvSpPr txBox="1"/>
      </xdr:nvSpPr>
      <xdr:spPr>
        <a:xfrm>
          <a:off x="30515858" y="4087906"/>
          <a:ext cx="54226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bg1"/>
              </a:solidFill>
            </a:rPr>
            <a:t>15%</a:t>
          </a:r>
        </a:p>
      </xdr:txBody>
    </xdr:sp>
    <xdr:clientData/>
  </xdr:oneCellAnchor>
  <xdr:oneCellAnchor>
    <xdr:from>
      <xdr:col>38</xdr:col>
      <xdr:colOff>403411</xdr:colOff>
      <xdr:row>19</xdr:row>
      <xdr:rowOff>26894</xdr:rowOff>
    </xdr:from>
    <xdr:ext cx="542264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C457A45-C0FA-412A-9821-52742496CD43}"/>
            </a:ext>
          </a:extLst>
        </xdr:cNvPr>
        <xdr:cNvSpPr txBox="1"/>
      </xdr:nvSpPr>
      <xdr:spPr>
        <a:xfrm>
          <a:off x="29807646" y="3469341"/>
          <a:ext cx="54226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bg1"/>
              </a:solidFill>
            </a:rPr>
            <a:t>12%</a:t>
          </a:r>
        </a:p>
      </xdr:txBody>
    </xdr:sp>
    <xdr:clientData/>
  </xdr:oneCellAnchor>
  <xdr:twoCellAnchor>
    <xdr:from>
      <xdr:col>6</xdr:col>
      <xdr:colOff>345141</xdr:colOff>
      <xdr:row>33</xdr:row>
      <xdr:rowOff>62752</xdr:rowOff>
    </xdr:from>
    <xdr:to>
      <xdr:col>14</xdr:col>
      <xdr:colOff>573742</xdr:colOff>
      <xdr:row>55</xdr:row>
      <xdr:rowOff>98611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05E654B-4C59-0966-AC2F-9F50E129A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0.28601</cdr:x>
      <cdr:y>0.42876</cdr:y>
    </cdr:from>
    <cdr:to>
      <cdr:x>0.34636</cdr:x>
      <cdr:y>0.50272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BAE7063D-41A3-464E-B713-166E6D7708EE}"/>
            </a:ext>
          </a:extLst>
        </cdr:cNvPr>
        <cdr:cNvSpPr txBox="1"/>
      </cdr:nvSpPr>
      <cdr:spPr>
        <a:xfrm xmlns:a="http://schemas.openxmlformats.org/drawingml/2006/main">
          <a:off x="2076824" y="1987177"/>
          <a:ext cx="438262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bg1"/>
              </a:solidFill>
            </a:rPr>
            <a:t>9%</a:t>
          </a:r>
        </a:p>
      </cdr:txBody>
    </cdr:sp>
  </cdr:relSizeAnchor>
  <cdr:relSizeAnchor xmlns:cdr="http://schemas.openxmlformats.org/drawingml/2006/chartDrawing">
    <cdr:from>
      <cdr:x>0.007</cdr:x>
      <cdr:y>0.01096</cdr:y>
    </cdr:from>
    <cdr:to>
      <cdr:x>0.08167</cdr:x>
      <cdr:y>0.08492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BAE7063D-41A3-464E-B713-166E6D7708E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542264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bg1"/>
              </a:solidFill>
            </a:rPr>
            <a:t>48%</a:t>
          </a:r>
        </a:p>
      </cdr:txBody>
    </cdr:sp>
  </cdr:relSizeAnchor>
  <cdr:relSizeAnchor xmlns:cdr="http://schemas.openxmlformats.org/drawingml/2006/chartDrawing">
    <cdr:from>
      <cdr:x>0.3107</cdr:x>
      <cdr:y>0.30303</cdr:y>
    </cdr:from>
    <cdr:to>
      <cdr:x>0.37105</cdr:x>
      <cdr:y>0.37699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AE7063D-41A3-464E-B713-166E6D7708EE}"/>
            </a:ext>
          </a:extLst>
        </cdr:cNvPr>
        <cdr:cNvSpPr txBox="1"/>
      </cdr:nvSpPr>
      <cdr:spPr>
        <a:xfrm xmlns:a="http://schemas.openxmlformats.org/drawingml/2006/main">
          <a:off x="2256118" y="1404471"/>
          <a:ext cx="438262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bg1"/>
              </a:solidFill>
            </a:rPr>
            <a:t>6%</a:t>
          </a:r>
        </a:p>
      </cdr:txBody>
    </cdr:sp>
  </cdr:relSizeAnchor>
  <cdr:relSizeAnchor xmlns:cdr="http://schemas.openxmlformats.org/drawingml/2006/chartDrawing">
    <cdr:from>
      <cdr:x>0.37366</cdr:x>
      <cdr:y>0.2334</cdr:y>
    </cdr:from>
    <cdr:to>
      <cdr:x>0.43402</cdr:x>
      <cdr:y>0.30736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8445ADA6-DD4A-D0CC-2819-172AD8E5EB75}"/>
            </a:ext>
          </a:extLst>
        </cdr:cNvPr>
        <cdr:cNvSpPr txBox="1"/>
      </cdr:nvSpPr>
      <cdr:spPr>
        <a:xfrm xmlns:a="http://schemas.openxmlformats.org/drawingml/2006/main">
          <a:off x="2713318" y="1081741"/>
          <a:ext cx="438262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bg1"/>
              </a:solidFill>
            </a:rPr>
            <a:t>6%</a:t>
          </a:r>
        </a:p>
      </cdr:txBody>
    </cdr:sp>
  </cdr:relSizeAnchor>
  <cdr:relSizeAnchor xmlns:cdr="http://schemas.openxmlformats.org/drawingml/2006/chartDrawing">
    <cdr:from>
      <cdr:x>0.42305</cdr:x>
      <cdr:y>0.18891</cdr:y>
    </cdr:from>
    <cdr:to>
      <cdr:x>0.4834</cdr:x>
      <cdr:y>0.26287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445ADA6-DD4A-D0CC-2819-172AD8E5EB75}"/>
            </a:ext>
          </a:extLst>
        </cdr:cNvPr>
        <cdr:cNvSpPr txBox="1"/>
      </cdr:nvSpPr>
      <cdr:spPr>
        <a:xfrm xmlns:a="http://schemas.openxmlformats.org/drawingml/2006/main">
          <a:off x="3071905" y="875553"/>
          <a:ext cx="438262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bg1"/>
              </a:solidFill>
            </a:rPr>
            <a:t>3%</a:t>
          </a:r>
        </a:p>
      </cdr:txBody>
    </cdr:sp>
  </cdr:relSizeAnchor>
  <cdr:relSizeAnchor xmlns:cdr="http://schemas.openxmlformats.org/drawingml/2006/chartDrawing">
    <cdr:from>
      <cdr:x>0.55267</cdr:x>
      <cdr:y>0.06319</cdr:y>
    </cdr:from>
    <cdr:to>
      <cdr:x>0.61303</cdr:x>
      <cdr:y>0.13714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445ADA6-DD4A-D0CC-2819-172AD8E5EB75}"/>
            </a:ext>
          </a:extLst>
        </cdr:cNvPr>
        <cdr:cNvSpPr txBox="1"/>
      </cdr:nvSpPr>
      <cdr:spPr>
        <a:xfrm xmlns:a="http://schemas.openxmlformats.org/drawingml/2006/main">
          <a:off x="4013200" y="292847"/>
          <a:ext cx="438262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ysClr val="windowText" lastClr="000000"/>
              </a:solidFill>
            </a:rPr>
            <a:t>6%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alanz.com/inversiones/fondo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c.gov/file/company-tickers" TargetMode="External"/><Relationship Id="rId1" Type="http://schemas.openxmlformats.org/officeDocument/2006/relationships/hyperlink" Target="https://teams.microsoft.com/l/meeting/details?eventId=AAMkADg1MTEzYzBlLWUxMDMtNGZiOC1iNzgyLTFlYTgxYTdjNGZmMgFRAAgI3z69kEPAAEYAAAAA062kJhxpI0OcXiOk506K5QcAxv_YohmDv0W0m2dTLNQpHQAAAAABDQAArLwNXTV_90eQlCYG5od5PwADS6WHFgAAEA%3d%3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showGridLines="0" tabSelected="1" zoomScale="85" zoomScaleNormal="85" workbookViewId="0">
      <selection activeCell="E18" sqref="E18"/>
    </sheetView>
  </sheetViews>
  <sheetFormatPr defaultColWidth="9.109375" defaultRowHeight="14.4" x14ac:dyDescent="0.3"/>
  <cols>
    <col min="1" max="1" width="6.44140625" customWidth="1"/>
    <col min="2" max="2" width="21.33203125" style="21" customWidth="1"/>
    <col min="3" max="3" width="9.5546875" customWidth="1"/>
    <col min="4" max="4" width="15.5546875" customWidth="1"/>
    <col min="5" max="5" width="95" customWidth="1"/>
    <col min="7" max="7" width="22.21875" bestFit="1" customWidth="1"/>
    <col min="8" max="8" width="20.5546875" bestFit="1" customWidth="1"/>
    <col min="10" max="10" width="13.21875" customWidth="1"/>
  </cols>
  <sheetData>
    <row r="1" spans="1:10" x14ac:dyDescent="0.3">
      <c r="A1" s="11"/>
      <c r="D1" s="1"/>
    </row>
    <row r="2" spans="1:10" x14ac:dyDescent="0.3">
      <c r="D2" s="1"/>
    </row>
    <row r="3" spans="1:10" ht="35.25" customHeight="1" x14ac:dyDescent="0.3">
      <c r="A3" s="16" t="s">
        <v>92</v>
      </c>
      <c r="B3" s="47">
        <v>80000</v>
      </c>
      <c r="C3" s="14"/>
      <c r="D3" s="14"/>
    </row>
    <row r="4" spans="1:10" x14ac:dyDescent="0.3">
      <c r="C4" s="13" t="s">
        <v>4</v>
      </c>
      <c r="D4" s="12" t="s">
        <v>185</v>
      </c>
    </row>
    <row r="6" spans="1:10" x14ac:dyDescent="0.3">
      <c r="B6" s="7" t="s">
        <v>2</v>
      </c>
      <c r="C6" s="7" t="s">
        <v>0</v>
      </c>
      <c r="D6" s="7" t="s">
        <v>92</v>
      </c>
      <c r="E6" s="8" t="s">
        <v>1</v>
      </c>
      <c r="G6" s="101" t="s">
        <v>175</v>
      </c>
      <c r="H6" s="101" t="s">
        <v>176</v>
      </c>
    </row>
    <row r="7" spans="1:10" s="3" customFormat="1" ht="43.2" x14ac:dyDescent="0.3">
      <c r="B7" s="23" t="s">
        <v>3</v>
      </c>
      <c r="C7" s="4">
        <v>0.1</v>
      </c>
      <c r="D7" s="5">
        <f t="shared" ref="D7" si="0">+$B$3*C7</f>
        <v>8000</v>
      </c>
      <c r="E7" s="6" t="s">
        <v>93</v>
      </c>
      <c r="G7" s="102">
        <f>+D7*0.33</f>
        <v>2640</v>
      </c>
      <c r="H7" s="102">
        <f>+G7/12</f>
        <v>220</v>
      </c>
    </row>
    <row r="8" spans="1:10" s="3" customFormat="1" ht="43.2" x14ac:dyDescent="0.3">
      <c r="B8" s="23" t="s">
        <v>3</v>
      </c>
      <c r="C8" s="4">
        <v>0.05</v>
      </c>
      <c r="D8" s="5">
        <f t="shared" ref="D8" si="1">+$B$3*C8</f>
        <v>4000</v>
      </c>
      <c r="E8" s="6" t="s">
        <v>178</v>
      </c>
      <c r="G8" s="102">
        <f>+D8*0.3</f>
        <v>1200</v>
      </c>
      <c r="H8" s="102">
        <f>+G8/12</f>
        <v>100</v>
      </c>
    </row>
    <row r="9" spans="1:10" ht="28.8" customHeight="1" x14ac:dyDescent="0.3">
      <c r="B9" s="23" t="s">
        <v>5</v>
      </c>
      <c r="C9" s="4">
        <v>0.1</v>
      </c>
      <c r="D9" s="5">
        <f t="shared" ref="D9:D10" si="2">+$B$3*C9</f>
        <v>8000</v>
      </c>
      <c r="E9" s="10" t="s">
        <v>177</v>
      </c>
      <c r="G9" s="102">
        <f>+D9*0.12</f>
        <v>960</v>
      </c>
      <c r="H9" s="102">
        <f>+G9/12</f>
        <v>80</v>
      </c>
    </row>
    <row r="10" spans="1:10" s="3" customFormat="1" x14ac:dyDescent="0.3">
      <c r="B10" s="22" t="s">
        <v>153</v>
      </c>
      <c r="C10" s="4">
        <v>0.75</v>
      </c>
      <c r="D10" s="5">
        <f t="shared" si="2"/>
        <v>60000</v>
      </c>
      <c r="E10" s="6" t="s">
        <v>154</v>
      </c>
      <c r="F10" s="15"/>
      <c r="G10" s="102">
        <f>+'Renta Fija pago mensual'!X32</f>
        <v>5269.1841999999997</v>
      </c>
      <c r="H10" s="102">
        <f>+G10/12</f>
        <v>439.09868333333333</v>
      </c>
    </row>
    <row r="11" spans="1:10" ht="20.25" customHeight="1" x14ac:dyDescent="0.3">
      <c r="B11" s="23"/>
      <c r="C11" s="4"/>
      <c r="D11" s="5"/>
      <c r="E11" s="6"/>
    </row>
    <row r="12" spans="1:10" x14ac:dyDescent="0.3">
      <c r="C12" s="17">
        <f>+SUM(C7:C11)</f>
        <v>1</v>
      </c>
      <c r="D12" s="9">
        <f>+SUM(D7:D11)</f>
        <v>80000</v>
      </c>
      <c r="G12" s="103">
        <f>+SUM(G7:G11)</f>
        <v>10069.1842</v>
      </c>
      <c r="H12" s="104">
        <f>+SUM(H7:H11)</f>
        <v>839.09868333333338</v>
      </c>
      <c r="I12" s="2"/>
    </row>
    <row r="13" spans="1:10" x14ac:dyDescent="0.3">
      <c r="C13" s="2"/>
      <c r="D13" s="19">
        <f>+D12-B3</f>
        <v>0</v>
      </c>
      <c r="E13" s="18" t="str">
        <f>+IF(D12=B3,"Ok","Pendiente")</f>
        <v>Ok</v>
      </c>
    </row>
    <row r="14" spans="1:10" ht="15" thickBot="1" x14ac:dyDescent="0.35"/>
    <row r="15" spans="1:10" x14ac:dyDescent="0.3">
      <c r="B15" s="7" t="s">
        <v>2</v>
      </c>
      <c r="C15" s="7" t="s">
        <v>0</v>
      </c>
      <c r="G15" s="77" t="s">
        <v>6</v>
      </c>
      <c r="H15" s="78"/>
      <c r="I15" s="78"/>
      <c r="J15" s="79"/>
    </row>
    <row r="16" spans="1:10" x14ac:dyDescent="0.3">
      <c r="B16" s="21" t="s">
        <v>179</v>
      </c>
      <c r="C16" s="2">
        <v>0.1</v>
      </c>
      <c r="G16" s="80"/>
      <c r="H16" s="81"/>
      <c r="I16" s="81"/>
      <c r="J16" s="82"/>
    </row>
    <row r="17" spans="2:10" x14ac:dyDescent="0.3">
      <c r="B17" s="21" t="s">
        <v>180</v>
      </c>
      <c r="C17" s="2">
        <v>0.05</v>
      </c>
      <c r="G17" s="80"/>
      <c r="H17" s="81"/>
      <c r="I17" s="81"/>
      <c r="J17" s="82"/>
    </row>
    <row r="18" spans="2:10" ht="15" thickBot="1" x14ac:dyDescent="0.35">
      <c r="B18" s="21" t="s">
        <v>5</v>
      </c>
      <c r="C18" s="2">
        <v>0.1</v>
      </c>
      <c r="G18" s="83"/>
      <c r="H18" s="84"/>
      <c r="I18" s="84"/>
      <c r="J18" s="85"/>
    </row>
    <row r="19" spans="2:10" x14ac:dyDescent="0.3">
      <c r="B19" s="21" t="s">
        <v>181</v>
      </c>
      <c r="C19" s="2">
        <v>0.1020375</v>
      </c>
    </row>
    <row r="20" spans="2:10" x14ac:dyDescent="0.3">
      <c r="B20" s="21" t="s">
        <v>182</v>
      </c>
      <c r="C20" s="2">
        <v>0.6479625</v>
      </c>
    </row>
  </sheetData>
  <mergeCells count="1">
    <mergeCell ref="G15:J18"/>
  </mergeCells>
  <hyperlinks>
    <hyperlink ref="D4" r:id="rId1" xr:uid="{00000000-0004-0000-0000-000000000000}"/>
  </hyperlinks>
  <pageMargins left="0.7" right="0.7" top="0.75" bottom="0.75" header="0.3" footer="0.3"/>
  <pageSetup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030E-1CBB-4803-A2B4-06C68B145B3C}">
  <dimension ref="B2:K21"/>
  <sheetViews>
    <sheetView showGridLines="0" zoomScale="70" zoomScaleNormal="70" workbookViewId="0">
      <selection activeCell="M10" sqref="M10"/>
    </sheetView>
  </sheetViews>
  <sheetFormatPr defaultColWidth="11.44140625" defaultRowHeight="14.4" x14ac:dyDescent="0.3"/>
  <cols>
    <col min="2" max="2" width="7.33203125" style="20" customWidth="1"/>
    <col min="3" max="3" width="22.33203125" style="86" bestFit="1" customWidth="1"/>
    <col min="4" max="4" width="22.77734375" style="21" customWidth="1"/>
    <col min="5" max="6" width="41.44140625" customWidth="1"/>
    <col min="7" max="7" width="12.21875" style="20" bestFit="1" customWidth="1"/>
    <col min="9" max="9" width="26.6640625" customWidth="1"/>
    <col min="10" max="10" width="14.109375" customWidth="1"/>
    <col min="11" max="11" width="10.77734375" style="20" customWidth="1"/>
  </cols>
  <sheetData>
    <row r="2" spans="2:11" x14ac:dyDescent="0.3">
      <c r="B2" s="109" t="s">
        <v>14</v>
      </c>
      <c r="C2" s="110" t="s">
        <v>99</v>
      </c>
      <c r="D2" s="111" t="s">
        <v>100</v>
      </c>
      <c r="E2" s="111" t="s">
        <v>13</v>
      </c>
      <c r="F2" s="111" t="s">
        <v>101</v>
      </c>
      <c r="G2" s="109" t="s">
        <v>32</v>
      </c>
      <c r="I2" s="107" t="s">
        <v>116</v>
      </c>
      <c r="J2" s="107" t="s">
        <v>127</v>
      </c>
      <c r="K2" s="107" t="s">
        <v>117</v>
      </c>
    </row>
    <row r="3" spans="2:11" ht="43.2" x14ac:dyDescent="0.3">
      <c r="B3" s="23" t="s">
        <v>102</v>
      </c>
      <c r="C3" s="22" t="s">
        <v>110</v>
      </c>
      <c r="D3" s="22" t="s">
        <v>132</v>
      </c>
      <c r="E3" s="6" t="s">
        <v>133</v>
      </c>
      <c r="F3" s="6" t="s">
        <v>134</v>
      </c>
      <c r="G3" s="70">
        <v>0.2</v>
      </c>
      <c r="I3" s="22" t="s">
        <v>128</v>
      </c>
      <c r="J3" s="6" t="s">
        <v>152</v>
      </c>
      <c r="K3" s="108">
        <v>0.37</v>
      </c>
    </row>
    <row r="4" spans="2:11" ht="43.2" x14ac:dyDescent="0.3">
      <c r="B4" s="23" t="s">
        <v>126</v>
      </c>
      <c r="C4" s="22" t="s">
        <v>118</v>
      </c>
      <c r="D4" s="22" t="s">
        <v>135</v>
      </c>
      <c r="E4" s="6" t="s">
        <v>136</v>
      </c>
      <c r="F4" s="6" t="s">
        <v>137</v>
      </c>
      <c r="G4" s="70">
        <v>0.1</v>
      </c>
      <c r="I4" s="22" t="s">
        <v>187</v>
      </c>
      <c r="J4" s="6" t="s">
        <v>129</v>
      </c>
      <c r="K4" s="108">
        <v>0.35</v>
      </c>
    </row>
    <row r="5" spans="2:11" ht="28.8" x14ac:dyDescent="0.3">
      <c r="B5" s="23" t="s">
        <v>103</v>
      </c>
      <c r="C5" s="22" t="s">
        <v>138</v>
      </c>
      <c r="D5" s="22" t="s">
        <v>139</v>
      </c>
      <c r="E5" s="6" t="s">
        <v>173</v>
      </c>
      <c r="F5" s="6" t="s">
        <v>171</v>
      </c>
      <c r="G5" s="70">
        <v>7.0000000000000007E-2</v>
      </c>
      <c r="I5" s="22" t="s">
        <v>130</v>
      </c>
      <c r="J5" s="6" t="s">
        <v>109</v>
      </c>
      <c r="K5" s="108">
        <v>0.1</v>
      </c>
    </row>
    <row r="6" spans="2:11" ht="43.2" x14ac:dyDescent="0.3">
      <c r="B6" s="23" t="s">
        <v>112</v>
      </c>
      <c r="C6" s="22" t="s">
        <v>113</v>
      </c>
      <c r="D6" s="22" t="s">
        <v>119</v>
      </c>
      <c r="E6" s="6" t="s">
        <v>140</v>
      </c>
      <c r="F6" s="6" t="s">
        <v>141</v>
      </c>
      <c r="G6" s="70">
        <v>0.2</v>
      </c>
      <c r="I6" s="22" t="s">
        <v>186</v>
      </c>
      <c r="J6" s="6" t="s">
        <v>107</v>
      </c>
      <c r="K6" s="108">
        <v>0.12</v>
      </c>
    </row>
    <row r="7" spans="2:11" ht="43.2" x14ac:dyDescent="0.3">
      <c r="B7" s="23" t="s">
        <v>109</v>
      </c>
      <c r="C7" s="22" t="s">
        <v>111</v>
      </c>
      <c r="D7" s="22" t="s">
        <v>120</v>
      </c>
      <c r="E7" s="6" t="s">
        <v>174</v>
      </c>
      <c r="F7" s="6" t="s">
        <v>172</v>
      </c>
      <c r="G7" s="70">
        <v>0.1</v>
      </c>
      <c r="I7" s="22" t="s">
        <v>131</v>
      </c>
      <c r="J7" s="6" t="s">
        <v>7</v>
      </c>
      <c r="K7" s="108">
        <v>0.06</v>
      </c>
    </row>
    <row r="8" spans="2:11" ht="43.2" x14ac:dyDescent="0.3">
      <c r="B8" s="23" t="s">
        <v>114</v>
      </c>
      <c r="C8" s="22" t="s">
        <v>115</v>
      </c>
      <c r="D8" s="22" t="s">
        <v>121</v>
      </c>
      <c r="E8" s="6" t="s">
        <v>142</v>
      </c>
      <c r="F8" s="6" t="s">
        <v>143</v>
      </c>
      <c r="G8" s="70">
        <v>0.1</v>
      </c>
      <c r="K8" s="108">
        <v>1</v>
      </c>
    </row>
    <row r="9" spans="2:11" ht="28.8" x14ac:dyDescent="0.3">
      <c r="B9" s="23" t="s">
        <v>104</v>
      </c>
      <c r="C9" s="22" t="s">
        <v>105</v>
      </c>
      <c r="D9" s="22" t="s">
        <v>122</v>
      </c>
      <c r="E9" s="6" t="s">
        <v>144</v>
      </c>
      <c r="F9" s="6" t="s">
        <v>145</v>
      </c>
      <c r="G9" s="70">
        <v>0.05</v>
      </c>
    </row>
    <row r="10" spans="2:11" ht="43.2" x14ac:dyDescent="0.3">
      <c r="B10" s="23" t="s">
        <v>106</v>
      </c>
      <c r="C10" s="22" t="s">
        <v>107</v>
      </c>
      <c r="D10" s="22" t="s">
        <v>123</v>
      </c>
      <c r="E10" s="6" t="s">
        <v>146</v>
      </c>
      <c r="F10" s="6" t="s">
        <v>147</v>
      </c>
      <c r="G10" s="70">
        <v>7.0000000000000007E-2</v>
      </c>
    </row>
    <row r="11" spans="2:11" ht="43.2" x14ac:dyDescent="0.3">
      <c r="B11" s="23" t="s">
        <v>8</v>
      </c>
      <c r="C11" s="22" t="s">
        <v>7</v>
      </c>
      <c r="D11" s="22" t="s">
        <v>124</v>
      </c>
      <c r="E11" s="6" t="s">
        <v>148</v>
      </c>
      <c r="F11" s="6" t="s">
        <v>149</v>
      </c>
      <c r="G11" s="70">
        <v>0.06</v>
      </c>
    </row>
    <row r="12" spans="2:11" ht="43.2" x14ac:dyDescent="0.3">
      <c r="B12" s="23" t="s">
        <v>108</v>
      </c>
      <c r="C12" s="22" t="s">
        <v>9</v>
      </c>
      <c r="D12" s="22" t="s">
        <v>125</v>
      </c>
      <c r="E12" s="6" t="s">
        <v>150</v>
      </c>
      <c r="F12" s="6" t="s">
        <v>151</v>
      </c>
      <c r="G12" s="70">
        <v>0.05</v>
      </c>
    </row>
    <row r="17" ht="16.2" customHeight="1" x14ac:dyDescent="0.3"/>
    <row r="18" ht="16.2" customHeight="1" x14ac:dyDescent="0.3"/>
    <row r="19" ht="16.2" customHeight="1" x14ac:dyDescent="0.3"/>
    <row r="20" ht="16.2" customHeight="1" x14ac:dyDescent="0.3"/>
    <row r="21" ht="16.2" customHeight="1" x14ac:dyDescent="0.3"/>
  </sheetData>
  <hyperlinks>
    <hyperlink ref="E7" r:id="rId1" display="https://teams.microsoft.com/l/meeting/details?eventId=AAMkADg1MTEzYzBlLWUxMDMtNGZiOC1iNzgyLTFlYTgxYTdjNGZmMgFRAAgI3z69kEPAAEYAAAAA062kJhxpI0OcXiOk506K5QcAxv_YohmDv0W0m2dTLNQpHQAAAAABDQAArLwNXTV_90eQlCYG5od5PwADS6WHFgAAEA%3d%3d" xr:uid="{AC7A516A-5F84-4950-82BA-730F7E27837B}"/>
    <hyperlink ref="F7" r:id="rId2" display="https://www.sec.gov/file/company-tickers" xr:uid="{6600ADCF-0CD5-4F80-867B-A187FAA650E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D19A-9BC7-46B8-AC86-C8C842C2C45E}">
  <dimension ref="A1:AM46"/>
  <sheetViews>
    <sheetView zoomScale="85" zoomScaleNormal="85" workbookViewId="0"/>
  </sheetViews>
  <sheetFormatPr defaultRowHeight="14.4" x14ac:dyDescent="0.3"/>
  <cols>
    <col min="1" max="1" width="11.6640625" bestFit="1" customWidth="1"/>
    <col min="2" max="2" width="11.5546875" bestFit="1" customWidth="1"/>
    <col min="3" max="3" width="10.88671875" bestFit="1" customWidth="1"/>
    <col min="4" max="4" width="11.6640625" customWidth="1"/>
    <col min="5" max="5" width="17.77734375" bestFit="1" customWidth="1"/>
    <col min="6" max="6" width="11.6640625" customWidth="1"/>
    <col min="7" max="7" width="9.5546875" bestFit="1" customWidth="1"/>
    <col min="8" max="8" width="10.88671875" bestFit="1" customWidth="1"/>
    <col min="9" max="9" width="10.88671875" customWidth="1"/>
    <col min="10" max="10" width="11.6640625" customWidth="1"/>
    <col min="11" max="11" width="14.33203125" bestFit="1" customWidth="1"/>
    <col min="12" max="12" width="11.44140625" customWidth="1"/>
    <col min="13" max="14" width="13.33203125" bestFit="1" customWidth="1"/>
    <col min="15" max="15" width="11.44140625" customWidth="1"/>
    <col min="16" max="16" width="11.6640625" bestFit="1" customWidth="1"/>
    <col min="17" max="17" width="12" bestFit="1" customWidth="1"/>
    <col min="18" max="18" width="9.5546875" bestFit="1" customWidth="1"/>
    <col min="19" max="19" width="12.109375" bestFit="1" customWidth="1"/>
    <col min="20" max="20" width="9.5546875" bestFit="1" customWidth="1"/>
    <col min="21" max="22" width="9.5546875" customWidth="1"/>
    <col min="23" max="23" width="12.6640625" bestFit="1" customWidth="1"/>
    <col min="24" max="24" width="7.77734375" bestFit="1" customWidth="1"/>
    <col min="25" max="25" width="14.109375" bestFit="1" customWidth="1"/>
    <col min="27" max="27" width="23.109375" bestFit="1" customWidth="1"/>
    <col min="28" max="28" width="10.33203125" bestFit="1" customWidth="1"/>
    <col min="29" max="29" width="5.44140625" bestFit="1" customWidth="1"/>
    <col min="31" max="31" width="17.77734375" bestFit="1" customWidth="1"/>
    <col min="32" max="32" width="10.33203125" bestFit="1" customWidth="1"/>
  </cols>
  <sheetData>
    <row r="1" spans="1:33" x14ac:dyDescent="0.3">
      <c r="A1" s="48"/>
      <c r="B1" s="100" t="s">
        <v>166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21"/>
      <c r="P1" s="71" t="s">
        <v>52</v>
      </c>
      <c r="Q1" s="72"/>
      <c r="R1" s="72"/>
      <c r="S1" s="72"/>
      <c r="T1" s="72"/>
      <c r="U1" s="72"/>
      <c r="V1" s="72"/>
      <c r="W1" s="73"/>
    </row>
    <row r="2" spans="1:33" x14ac:dyDescent="0.3">
      <c r="A2" s="34" t="s">
        <v>53</v>
      </c>
      <c r="B2" s="21" t="s">
        <v>54</v>
      </c>
      <c r="C2" s="21" t="s">
        <v>58</v>
      </c>
      <c r="D2" s="21" t="s">
        <v>55</v>
      </c>
      <c r="E2" s="21" t="s">
        <v>61</v>
      </c>
      <c r="F2" s="21" t="s">
        <v>54</v>
      </c>
      <c r="G2" s="21" t="s">
        <v>54</v>
      </c>
      <c r="H2" s="21" t="s">
        <v>54</v>
      </c>
      <c r="I2" s="21" t="s">
        <v>165</v>
      </c>
      <c r="J2" s="21" t="s">
        <v>54</v>
      </c>
      <c r="K2" s="21" t="s">
        <v>54</v>
      </c>
      <c r="L2" s="21"/>
      <c r="M2" s="21" t="s">
        <v>95</v>
      </c>
      <c r="N2" s="21" t="s">
        <v>95</v>
      </c>
      <c r="O2" s="21"/>
      <c r="P2" s="50" t="s">
        <v>56</v>
      </c>
      <c r="Q2" s="21" t="s">
        <v>54</v>
      </c>
      <c r="R2" s="21" t="s">
        <v>54</v>
      </c>
      <c r="S2" s="21" t="s">
        <v>54</v>
      </c>
      <c r="T2" s="21" t="s">
        <v>54</v>
      </c>
      <c r="U2" s="21" t="s">
        <v>54</v>
      </c>
      <c r="V2" s="21"/>
      <c r="W2" s="51" t="s">
        <v>169</v>
      </c>
    </row>
    <row r="3" spans="1:33" ht="15" thickBot="1" x14ac:dyDescent="0.35">
      <c r="A3" s="34" t="s">
        <v>31</v>
      </c>
      <c r="B3" s="21" t="s">
        <v>25</v>
      </c>
      <c r="C3" s="21" t="s">
        <v>57</v>
      </c>
      <c r="D3" s="21" t="s">
        <v>27</v>
      </c>
      <c r="E3" s="21" t="s">
        <v>60</v>
      </c>
      <c r="F3" s="21" t="s">
        <v>29</v>
      </c>
      <c r="G3" s="21" t="s">
        <v>64</v>
      </c>
      <c r="H3" s="21" t="s">
        <v>63</v>
      </c>
      <c r="I3" s="21" t="s">
        <v>163</v>
      </c>
      <c r="J3" s="21" t="s">
        <v>25</v>
      </c>
      <c r="K3" s="21" t="s">
        <v>59</v>
      </c>
      <c r="L3" s="21"/>
      <c r="M3" s="21" t="s">
        <v>162</v>
      </c>
      <c r="N3" s="21" t="s">
        <v>162</v>
      </c>
      <c r="O3" s="21"/>
      <c r="P3" s="50" t="s">
        <v>48</v>
      </c>
      <c r="Q3" s="21" t="s">
        <v>49</v>
      </c>
      <c r="R3" s="21" t="s">
        <v>49</v>
      </c>
      <c r="S3" s="21" t="s">
        <v>30</v>
      </c>
      <c r="T3" s="21" t="s">
        <v>50</v>
      </c>
      <c r="U3" s="21" t="s">
        <v>51</v>
      </c>
      <c r="V3" s="21"/>
      <c r="W3" s="51" t="s">
        <v>168</v>
      </c>
      <c r="X3" s="21"/>
    </row>
    <row r="4" spans="1:33" x14ac:dyDescent="0.3">
      <c r="A4" s="34" t="s">
        <v>14</v>
      </c>
      <c r="B4" s="21" t="s">
        <v>65</v>
      </c>
      <c r="C4" s="21" t="s">
        <v>74</v>
      </c>
      <c r="D4" s="21" t="s">
        <v>66</v>
      </c>
      <c r="E4" s="21" t="s">
        <v>71</v>
      </c>
      <c r="F4" s="21" t="s">
        <v>67</v>
      </c>
      <c r="G4" s="21" t="s">
        <v>72</v>
      </c>
      <c r="H4" s="21" t="s">
        <v>70</v>
      </c>
      <c r="I4" s="21" t="s">
        <v>164</v>
      </c>
      <c r="J4" s="21" t="s">
        <v>68</v>
      </c>
      <c r="K4" s="21" t="s">
        <v>69</v>
      </c>
      <c r="L4" s="21"/>
      <c r="M4" s="21" t="s">
        <v>94</v>
      </c>
      <c r="N4" s="21" t="s">
        <v>97</v>
      </c>
      <c r="O4" s="21"/>
      <c r="P4" s="50" t="s">
        <v>155</v>
      </c>
      <c r="Q4" s="21" t="s">
        <v>73</v>
      </c>
      <c r="R4" s="21" t="s">
        <v>156</v>
      </c>
      <c r="S4" s="21" t="s">
        <v>157</v>
      </c>
      <c r="T4" s="21" t="s">
        <v>158</v>
      </c>
      <c r="U4" s="21" t="s">
        <v>159</v>
      </c>
      <c r="V4" s="21"/>
      <c r="W4" s="51" t="s">
        <v>167</v>
      </c>
      <c r="X4" s="21"/>
      <c r="AA4" s="46" t="s">
        <v>47</v>
      </c>
      <c r="AB4" s="45">
        <f>+Propuesta!D10</f>
        <v>60000</v>
      </c>
    </row>
    <row r="5" spans="1:33" x14ac:dyDescent="0.3">
      <c r="A5" s="34" t="s">
        <v>46</v>
      </c>
      <c r="B5" s="44">
        <v>46690</v>
      </c>
      <c r="C5" s="74">
        <v>47133</v>
      </c>
      <c r="D5" s="44">
        <v>46970</v>
      </c>
      <c r="E5" s="74">
        <v>47174</v>
      </c>
      <c r="F5" s="44">
        <v>47187</v>
      </c>
      <c r="G5" s="74">
        <v>46920</v>
      </c>
      <c r="H5" s="74">
        <v>47047</v>
      </c>
      <c r="I5" s="74">
        <v>47071</v>
      </c>
      <c r="J5" s="44" t="s">
        <v>45</v>
      </c>
      <c r="K5" s="74">
        <v>47273</v>
      </c>
      <c r="L5" s="44"/>
      <c r="M5" s="44">
        <v>46689</v>
      </c>
      <c r="N5" s="44">
        <v>47057</v>
      </c>
      <c r="O5" s="44"/>
      <c r="P5" s="52">
        <v>46592</v>
      </c>
      <c r="Q5" s="44">
        <v>47510</v>
      </c>
      <c r="R5" s="44">
        <v>47986</v>
      </c>
      <c r="S5" s="44">
        <v>46507</v>
      </c>
      <c r="T5" s="44">
        <v>48740</v>
      </c>
      <c r="U5" s="44">
        <v>48961</v>
      </c>
      <c r="V5" s="44"/>
      <c r="W5" s="53">
        <v>47599</v>
      </c>
      <c r="X5" s="21"/>
      <c r="Y5" s="93"/>
      <c r="AA5" s="41"/>
      <c r="AB5" s="40"/>
    </row>
    <row r="6" spans="1:33" x14ac:dyDescent="0.3">
      <c r="A6" s="34" t="s">
        <v>11</v>
      </c>
      <c r="B6" s="49">
        <v>101.75</v>
      </c>
      <c r="C6" s="49">
        <v>104.55</v>
      </c>
      <c r="D6" s="49">
        <v>107.4</v>
      </c>
      <c r="E6" s="49">
        <v>103.25</v>
      </c>
      <c r="F6" s="49">
        <v>104.3</v>
      </c>
      <c r="G6" s="49">
        <v>100.75</v>
      </c>
      <c r="H6" s="49">
        <v>101.95</v>
      </c>
      <c r="I6" s="49">
        <v>104.5</v>
      </c>
      <c r="J6" s="49">
        <v>108.5</v>
      </c>
      <c r="K6" s="49">
        <v>106.05</v>
      </c>
      <c r="L6" s="49"/>
      <c r="M6" s="49">
        <v>102.75</v>
      </c>
      <c r="N6" s="49">
        <v>97.43</v>
      </c>
      <c r="O6" s="49"/>
      <c r="P6" s="54">
        <v>103.4</v>
      </c>
      <c r="Q6" s="55">
        <v>106.75</v>
      </c>
      <c r="R6" s="55">
        <v>108.15</v>
      </c>
      <c r="S6" s="55">
        <v>44.12</v>
      </c>
      <c r="T6" s="55">
        <v>110.9</v>
      </c>
      <c r="U6" s="55">
        <v>112.5</v>
      </c>
      <c r="V6" s="55"/>
      <c r="W6" s="56">
        <v>63.98</v>
      </c>
      <c r="X6" s="21"/>
      <c r="Y6" s="93"/>
      <c r="AA6" s="43" t="s">
        <v>43</v>
      </c>
      <c r="AB6" s="42">
        <f>+AVERAGE(X20:X31)</f>
        <v>439.09868333333333</v>
      </c>
      <c r="AC6" s="2"/>
    </row>
    <row r="7" spans="1:33" x14ac:dyDescent="0.3">
      <c r="A7" s="34" t="s">
        <v>44</v>
      </c>
      <c r="B7" s="36">
        <v>7.4999999999999997E-2</v>
      </c>
      <c r="C7" s="36">
        <v>7.4899999999999994E-2</v>
      </c>
      <c r="D7" s="36">
        <v>9.5000000000000001E-2</v>
      </c>
      <c r="E7" s="36">
        <v>0.08</v>
      </c>
      <c r="F7" s="36">
        <v>7.9000000000000001E-2</v>
      </c>
      <c r="G7" s="36">
        <v>7.7499999999999999E-2</v>
      </c>
      <c r="H7" s="36">
        <v>6.7500000000000004E-2</v>
      </c>
      <c r="I7" s="36">
        <v>0.08</v>
      </c>
      <c r="J7" s="36">
        <v>9.7500000000000003E-2</v>
      </c>
      <c r="K7" s="36">
        <v>7.4999999999999997E-2</v>
      </c>
      <c r="L7" s="36"/>
      <c r="M7" s="36">
        <v>0.06</v>
      </c>
      <c r="N7" s="36">
        <v>0.06</v>
      </c>
      <c r="O7" s="36"/>
      <c r="P7" s="57">
        <v>0.08</v>
      </c>
      <c r="Q7" s="58">
        <v>7.4999999999999997E-2</v>
      </c>
      <c r="R7" s="59">
        <v>8.1250000000000003E-2</v>
      </c>
      <c r="S7" s="59">
        <v>9.1249999999999998E-2</v>
      </c>
      <c r="T7" s="58">
        <v>8.5000000000000006E-2</v>
      </c>
      <c r="U7" s="58">
        <v>8.2500000000000004E-2</v>
      </c>
      <c r="V7" s="58"/>
      <c r="W7" s="60">
        <v>6.88E-2</v>
      </c>
      <c r="X7" s="36"/>
      <c r="Y7" s="1"/>
      <c r="Z7" s="31"/>
      <c r="AA7" s="41"/>
      <c r="AB7" s="40"/>
      <c r="AC7" s="2"/>
    </row>
    <row r="8" spans="1:33" x14ac:dyDescent="0.3">
      <c r="A8" s="34" t="s">
        <v>42</v>
      </c>
      <c r="B8" s="36">
        <v>7.4200000000000002E-2</v>
      </c>
      <c r="C8" s="36">
        <v>6.9500000000000006E-2</v>
      </c>
      <c r="D8" s="36">
        <v>7.8600000000000003E-2</v>
      </c>
      <c r="E8" s="36">
        <v>8.0799999999999997E-2</v>
      </c>
      <c r="F8" s="36">
        <v>7.3200000000000001E-2</v>
      </c>
      <c r="G8" s="36">
        <v>7.8700000000000006E-2</v>
      </c>
      <c r="H8" s="36">
        <v>6.6600000000000006E-2</v>
      </c>
      <c r="I8" s="36">
        <v>5.9400000000000001E-2</v>
      </c>
      <c r="J8" s="36">
        <v>7.5899999999999995E-2</v>
      </c>
      <c r="K8" s="36">
        <v>5.6000000000000001E-2</v>
      </c>
      <c r="L8" s="36"/>
      <c r="M8" s="36">
        <v>0.04</v>
      </c>
      <c r="N8" s="36">
        <v>7.2999999999999995E-2</v>
      </c>
      <c r="O8" s="36"/>
      <c r="P8" s="57">
        <v>7.6700000000000004E-2</v>
      </c>
      <c r="Q8" s="58">
        <v>5.9400000000000001E-2</v>
      </c>
      <c r="R8" s="58">
        <v>6.5199999999999994E-2</v>
      </c>
      <c r="S8" s="58">
        <v>-5.5500000000000001E-2</v>
      </c>
      <c r="T8" s="58">
        <v>6.5000000000000002E-2</v>
      </c>
      <c r="U8" s="58">
        <v>6.7500000000000004E-2</v>
      </c>
      <c r="V8" s="58"/>
      <c r="W8" s="60">
        <v>5.6099999999999997E-2</v>
      </c>
      <c r="X8" s="36"/>
      <c r="Y8" s="1"/>
      <c r="Z8" s="31"/>
      <c r="AA8" s="43" t="s">
        <v>161</v>
      </c>
      <c r="AB8" s="94">
        <v>2.9</v>
      </c>
      <c r="AC8" s="2"/>
    </row>
    <row r="9" spans="1:33" x14ac:dyDescent="0.3">
      <c r="A9" s="34" t="s">
        <v>41</v>
      </c>
      <c r="B9" s="36">
        <v>1.0029999999999999</v>
      </c>
      <c r="C9" s="36">
        <v>1.149</v>
      </c>
      <c r="D9" s="36">
        <v>1.034</v>
      </c>
      <c r="E9" s="36">
        <v>1.002</v>
      </c>
      <c r="F9" s="36">
        <v>1.0169999999999999</v>
      </c>
      <c r="G9" s="36">
        <v>1.002</v>
      </c>
      <c r="H9" s="36">
        <v>1.004</v>
      </c>
      <c r="I9" s="36">
        <v>1.0249999999999999</v>
      </c>
      <c r="J9" s="36">
        <v>1.0760000000000001</v>
      </c>
      <c r="K9" s="36">
        <v>1.052</v>
      </c>
      <c r="L9" s="36"/>
      <c r="M9" s="36">
        <v>1.0249999999999999</v>
      </c>
      <c r="N9" s="36">
        <v>0.97199999999999998</v>
      </c>
      <c r="O9" s="36"/>
      <c r="P9" s="57">
        <v>1</v>
      </c>
      <c r="Q9" s="58">
        <v>1.052</v>
      </c>
      <c r="R9" s="58">
        <v>1.07</v>
      </c>
      <c r="S9" s="58">
        <v>2.206</v>
      </c>
      <c r="T9" s="58">
        <v>1.1020000000000001</v>
      </c>
      <c r="U9" s="58">
        <v>1.0860000000000001</v>
      </c>
      <c r="V9" s="58"/>
      <c r="W9" s="60">
        <v>0.59799999999999998</v>
      </c>
      <c r="X9" s="36"/>
      <c r="Y9" s="31"/>
      <c r="Z9" s="31"/>
      <c r="AA9" s="41"/>
      <c r="AB9" s="40"/>
      <c r="AC9" s="31"/>
    </row>
    <row r="10" spans="1:33" ht="15" thickBot="1" x14ac:dyDescent="0.35">
      <c r="A10" s="34" t="s">
        <v>39</v>
      </c>
      <c r="B10" s="33">
        <v>100</v>
      </c>
      <c r="C10" s="33">
        <v>1</v>
      </c>
      <c r="D10" s="33">
        <v>100</v>
      </c>
      <c r="E10" s="33">
        <v>100</v>
      </c>
      <c r="F10" s="33">
        <v>100</v>
      </c>
      <c r="G10" s="33">
        <v>1</v>
      </c>
      <c r="H10" s="33">
        <v>1</v>
      </c>
      <c r="I10" s="33">
        <v>100</v>
      </c>
      <c r="J10" s="33">
        <v>1</v>
      </c>
      <c r="K10" s="33">
        <v>100</v>
      </c>
      <c r="L10" s="33"/>
      <c r="M10" s="33">
        <v>1</v>
      </c>
      <c r="N10" s="33">
        <v>1</v>
      </c>
      <c r="O10" s="33"/>
      <c r="P10" s="61">
        <v>50</v>
      </c>
      <c r="Q10" s="62">
        <v>100</v>
      </c>
      <c r="R10" s="62">
        <v>1000</v>
      </c>
      <c r="S10" s="62">
        <v>1000</v>
      </c>
      <c r="T10" s="62">
        <v>1000</v>
      </c>
      <c r="U10" s="62">
        <v>1000</v>
      </c>
      <c r="V10" s="62"/>
      <c r="W10" s="63">
        <v>1</v>
      </c>
      <c r="X10" s="36"/>
      <c r="Y10" s="31"/>
      <c r="Z10" s="31"/>
      <c r="AA10" s="39" t="s">
        <v>40</v>
      </c>
      <c r="AB10" s="38">
        <f>+AB6/AB4*12</f>
        <v>8.7819736666666676E-2</v>
      </c>
      <c r="AC10" s="2"/>
    </row>
    <row r="11" spans="1:33" x14ac:dyDescent="0.3">
      <c r="A11" s="34" t="s">
        <v>38</v>
      </c>
      <c r="B11" s="36" t="s">
        <v>37</v>
      </c>
      <c r="C11" s="36" t="s">
        <v>37</v>
      </c>
      <c r="D11" s="36" t="s">
        <v>37</v>
      </c>
      <c r="E11" s="36" t="s">
        <v>37</v>
      </c>
      <c r="F11" s="36" t="s">
        <v>37</v>
      </c>
      <c r="G11" s="36" t="s">
        <v>37</v>
      </c>
      <c r="H11" s="36" t="s">
        <v>37</v>
      </c>
      <c r="I11" s="36" t="s">
        <v>37</v>
      </c>
      <c r="J11" s="36" t="s">
        <v>36</v>
      </c>
      <c r="K11" s="36" t="s">
        <v>37</v>
      </c>
      <c r="L11" s="36"/>
      <c r="M11" s="36" t="s">
        <v>37</v>
      </c>
      <c r="N11" s="36" t="s">
        <v>37</v>
      </c>
      <c r="O11" s="36"/>
      <c r="P11" s="57" t="s">
        <v>37</v>
      </c>
      <c r="Q11" s="58" t="s">
        <v>37</v>
      </c>
      <c r="R11" s="58" t="s">
        <v>36</v>
      </c>
      <c r="S11" s="58" t="s">
        <v>36</v>
      </c>
      <c r="T11" s="58" t="s">
        <v>36</v>
      </c>
      <c r="U11" s="58" t="s">
        <v>36</v>
      </c>
      <c r="V11" s="58"/>
      <c r="W11" s="60" t="s">
        <v>36</v>
      </c>
      <c r="X11" s="36"/>
      <c r="Y11" s="31"/>
      <c r="Z11" s="31"/>
      <c r="AA11" s="31"/>
      <c r="AB11" s="31"/>
      <c r="AC11" s="2"/>
    </row>
    <row r="12" spans="1:33" x14ac:dyDescent="0.3">
      <c r="A12" s="34" t="s">
        <v>35</v>
      </c>
      <c r="B12" s="36" t="s">
        <v>34</v>
      </c>
      <c r="C12" s="36" t="s">
        <v>34</v>
      </c>
      <c r="D12" s="36" t="s">
        <v>34</v>
      </c>
      <c r="E12" s="36" t="s">
        <v>34</v>
      </c>
      <c r="F12" s="36" t="s">
        <v>34</v>
      </c>
      <c r="G12" s="36" t="s">
        <v>34</v>
      </c>
      <c r="H12" s="36" t="s">
        <v>34</v>
      </c>
      <c r="I12" s="36" t="s">
        <v>34</v>
      </c>
      <c r="J12" s="36" t="s">
        <v>33</v>
      </c>
      <c r="K12" s="36" t="s">
        <v>34</v>
      </c>
      <c r="L12" s="36"/>
      <c r="M12" s="36" t="s">
        <v>34</v>
      </c>
      <c r="N12" s="36" t="s">
        <v>34</v>
      </c>
      <c r="O12" s="36"/>
      <c r="P12" s="57" t="s">
        <v>34</v>
      </c>
      <c r="Q12" s="58" t="s">
        <v>34</v>
      </c>
      <c r="R12" s="58" t="s">
        <v>33</v>
      </c>
      <c r="S12" s="58" t="s">
        <v>33</v>
      </c>
      <c r="T12" s="58" t="s">
        <v>33</v>
      </c>
      <c r="U12" s="58" t="s">
        <v>33</v>
      </c>
      <c r="V12" s="58"/>
      <c r="W12" s="60" t="s">
        <v>33</v>
      </c>
      <c r="X12" s="36"/>
      <c r="Y12" s="31"/>
      <c r="Z12" s="31"/>
      <c r="AA12" s="27" t="s">
        <v>31</v>
      </c>
      <c r="AB12" s="27" t="s">
        <v>10</v>
      </c>
      <c r="AC12" s="35" t="s">
        <v>0</v>
      </c>
      <c r="AE12" s="27" t="s">
        <v>53</v>
      </c>
      <c r="AF12" s="27" t="s">
        <v>10</v>
      </c>
      <c r="AG12" s="35" t="s">
        <v>0</v>
      </c>
    </row>
    <row r="13" spans="1:33" x14ac:dyDescent="0.3">
      <c r="A13" s="34" t="s">
        <v>62</v>
      </c>
      <c r="B13" s="36" t="s">
        <v>80</v>
      </c>
      <c r="C13" s="36" t="s">
        <v>76</v>
      </c>
      <c r="D13" s="36" t="s">
        <v>81</v>
      </c>
      <c r="E13" s="36" t="s">
        <v>76</v>
      </c>
      <c r="F13" s="36" t="s">
        <v>82</v>
      </c>
      <c r="G13" s="36" t="s">
        <v>77</v>
      </c>
      <c r="H13" s="36" t="s">
        <v>76</v>
      </c>
      <c r="I13" s="36" t="s">
        <v>79</v>
      </c>
      <c r="J13" s="36" t="s">
        <v>83</v>
      </c>
      <c r="K13" s="36" t="s">
        <v>75</v>
      </c>
      <c r="L13" s="36"/>
      <c r="M13" s="36" t="s">
        <v>98</v>
      </c>
      <c r="N13" s="36" t="s">
        <v>98</v>
      </c>
      <c r="O13" s="36"/>
      <c r="P13" s="57" t="s">
        <v>160</v>
      </c>
      <c r="Q13" s="58" t="s">
        <v>75</v>
      </c>
      <c r="R13" s="58" t="s">
        <v>79</v>
      </c>
      <c r="S13" s="58" t="s">
        <v>79</v>
      </c>
      <c r="T13" s="58" t="s">
        <v>79</v>
      </c>
      <c r="U13" s="58" t="s">
        <v>79</v>
      </c>
      <c r="V13" s="58"/>
      <c r="W13" s="60" t="s">
        <v>170</v>
      </c>
      <c r="X13" s="36"/>
      <c r="Y13" s="31"/>
      <c r="Z13" s="31"/>
      <c r="AA13" t="s">
        <v>163</v>
      </c>
      <c r="AB13" s="29">
        <f>+SUMIF($A$3:$W$3,$AA13,$A$17:$W$17)</f>
        <v>10450</v>
      </c>
      <c r="AC13" s="2">
        <f>+AB13/$AB$30</f>
        <v>0.15009361525502785</v>
      </c>
      <c r="AE13" s="96" t="s">
        <v>54</v>
      </c>
      <c r="AF13" s="29">
        <f>+SUMIF($A$2:$W$2,$AE13,$A$17:$W$17)</f>
        <v>33093.362500000003</v>
      </c>
      <c r="AG13" s="2">
        <f>+AF13/$AF$22</f>
        <v>0.47532080560480056</v>
      </c>
    </row>
    <row r="14" spans="1:33" x14ac:dyDescent="0.3">
      <c r="A14" s="34" t="s">
        <v>78</v>
      </c>
      <c r="B14" s="75" t="s">
        <v>86</v>
      </c>
      <c r="C14" s="75" t="s">
        <v>86</v>
      </c>
      <c r="D14" s="75" t="s">
        <v>87</v>
      </c>
      <c r="E14" s="75" t="s">
        <v>87</v>
      </c>
      <c r="F14" s="75" t="s">
        <v>88</v>
      </c>
      <c r="G14" s="75" t="s">
        <v>91</v>
      </c>
      <c r="H14" s="75" t="s">
        <v>85</v>
      </c>
      <c r="I14" s="75" t="s">
        <v>89</v>
      </c>
      <c r="J14" s="75" t="s">
        <v>90</v>
      </c>
      <c r="K14" s="75" t="s">
        <v>90</v>
      </c>
      <c r="L14" s="36"/>
      <c r="M14" s="36" t="s">
        <v>96</v>
      </c>
      <c r="N14" s="36" t="s">
        <v>96</v>
      </c>
      <c r="O14" s="36"/>
      <c r="P14" s="57" t="s">
        <v>84</v>
      </c>
      <c r="Q14" s="75" t="s">
        <v>85</v>
      </c>
      <c r="R14" s="75" t="s">
        <v>89</v>
      </c>
      <c r="S14" s="75" t="s">
        <v>85</v>
      </c>
      <c r="T14" s="75" t="s">
        <v>90</v>
      </c>
      <c r="U14" s="75" t="s">
        <v>84</v>
      </c>
      <c r="V14" s="75"/>
      <c r="W14" s="76" t="s">
        <v>85</v>
      </c>
      <c r="X14" s="36"/>
      <c r="Y14" s="31"/>
      <c r="Z14" s="31"/>
      <c r="AA14" t="s">
        <v>162</v>
      </c>
      <c r="AB14" s="29">
        <f>+SUMIF($A$3:$W$3,$AA14,$A$17:$W$17)</f>
        <v>8163.15</v>
      </c>
      <c r="AC14" s="2">
        <f>+AB14/$AB$30</f>
        <v>0.11724753065732826</v>
      </c>
      <c r="AE14" s="97" t="s">
        <v>165</v>
      </c>
      <c r="AF14" s="29">
        <f t="shared" ref="AF14:AF20" si="0">+SUMIF($A$2:$W$2,$AE14,$A$17:$W$17)</f>
        <v>10450</v>
      </c>
      <c r="AG14" s="2">
        <f>+AF14/$AF$22</f>
        <v>0.15009361525502782</v>
      </c>
    </row>
    <row r="15" spans="1:33" x14ac:dyDescent="0.3">
      <c r="A15" s="34" t="s">
        <v>32</v>
      </c>
      <c r="B15" s="37">
        <f>+B17/SUM($B$17:$W$17)</f>
        <v>2.9228756654926479E-2</v>
      </c>
      <c r="C15" s="37">
        <f>+C17/SUM($B$17:$W$17)</f>
        <v>9.0099258229166493E-2</v>
      </c>
      <c r="D15" s="37">
        <f>+D17/SUM($B$17:$W$17)</f>
        <v>6.170355704646887E-2</v>
      </c>
      <c r="E15" s="37">
        <f>+E17/SUM($B$17:$W$17)</f>
        <v>5.9319294832848334E-2</v>
      </c>
      <c r="F15" s="37">
        <f>+F17/SUM($B$17:$W$17)</f>
        <v>8.9883812848417649E-2</v>
      </c>
      <c r="G15" s="37">
        <f>+G17/SUM($B$17:$W$17)</f>
        <v>7.2353740368153383E-2</v>
      </c>
      <c r="H15" s="37">
        <f>+H17/SUM($B$17:$W$17)</f>
        <v>5.8572417512919007E-2</v>
      </c>
      <c r="I15" s="37">
        <f>+I17/SUM($B$17:$W$17)</f>
        <v>0.15009361525502787</v>
      </c>
      <c r="J15" s="37">
        <f>+J17/SUM($B$17:$W$17)</f>
        <v>6.2335530163332147E-2</v>
      </c>
      <c r="K15" s="37">
        <f>+K17/SUM($B$17:$W$17)</f>
        <v>6.0927953675773035E-2</v>
      </c>
      <c r="L15" s="37"/>
      <c r="M15" s="37">
        <f>+M17/SUM($B$17:$W$17)</f>
        <v>7.5265843764608598E-2</v>
      </c>
      <c r="N15" s="37">
        <f>+N17/SUM($B$17:$W$17)</f>
        <v>4.1981686892719708E-2</v>
      </c>
      <c r="O15" s="37"/>
      <c r="P15" s="64">
        <f>+P17/SUM($B$17:$W$17)</f>
        <v>3.3727457287317707E-2</v>
      </c>
      <c r="Q15" s="65">
        <f>+Q17/SUM($B$17:$W$17)</f>
        <v>9.1228551099925021E-3</v>
      </c>
      <c r="R15" s="65">
        <f>+R17/SUM($B$17:$W$17)</f>
        <v>1.5533611951991639E-2</v>
      </c>
      <c r="S15" s="65">
        <f>+S17/SUM($B$17:$W$17)</f>
        <v>6.3369667990926595E-3</v>
      </c>
      <c r="T15" s="65">
        <f>+T17/SUM($B$17:$W$17)</f>
        <v>3.1857190300062371E-2</v>
      </c>
      <c r="U15" s="65">
        <v>3.9663304650112315E-2</v>
      </c>
      <c r="V15" s="65"/>
      <c r="W15" s="66">
        <f>+W17/SUM($B$17:$W$17)</f>
        <v>1.248848108704179E-2</v>
      </c>
      <c r="X15" s="36"/>
      <c r="Y15" s="31"/>
      <c r="Z15" s="31"/>
      <c r="AA15" t="s">
        <v>25</v>
      </c>
      <c r="AB15" s="29">
        <f>+SUMIF($A$3:$W$3,$AA15,$A$17:$W$17)</f>
        <v>6375</v>
      </c>
      <c r="AC15" s="2">
        <f>+AB15/$AB$30</f>
        <v>9.1564286818258608E-2</v>
      </c>
      <c r="AE15" s="98" t="s">
        <v>95</v>
      </c>
      <c r="AF15" s="29">
        <f t="shared" si="0"/>
        <v>8163.15</v>
      </c>
      <c r="AG15" s="2">
        <f>+AF15/$AF$22</f>
        <v>0.11724753065732825</v>
      </c>
    </row>
    <row r="16" spans="1:33" x14ac:dyDescent="0.3">
      <c r="A16" s="34" t="s">
        <v>12</v>
      </c>
      <c r="B16" s="33">
        <v>2000</v>
      </c>
      <c r="C16" s="33">
        <v>6000</v>
      </c>
      <c r="D16" s="33">
        <v>4000</v>
      </c>
      <c r="E16" s="33">
        <v>4000</v>
      </c>
      <c r="F16" s="33">
        <v>6000</v>
      </c>
      <c r="G16" s="33">
        <v>5000</v>
      </c>
      <c r="H16" s="33">
        <v>4000</v>
      </c>
      <c r="I16" s="33">
        <v>10000</v>
      </c>
      <c r="J16" s="92">
        <v>4000</v>
      </c>
      <c r="K16" s="92">
        <v>4000</v>
      </c>
      <c r="L16" s="92"/>
      <c r="M16" s="92">
        <v>5100</v>
      </c>
      <c r="N16" s="92">
        <v>3000</v>
      </c>
      <c r="O16" s="33"/>
      <c r="P16" s="67">
        <v>2271</v>
      </c>
      <c r="Q16" s="68">
        <v>595</v>
      </c>
      <c r="R16" s="68">
        <v>1000</v>
      </c>
      <c r="S16" s="68">
        <v>1000</v>
      </c>
      <c r="T16" s="68">
        <v>2000</v>
      </c>
      <c r="U16" s="68">
        <v>2424</v>
      </c>
      <c r="V16" s="68"/>
      <c r="W16" s="69">
        <v>1359</v>
      </c>
      <c r="X16" s="32">
        <f>SUM(B16:W16)</f>
        <v>67749</v>
      </c>
      <c r="Y16" s="1">
        <f>+SUMPRODUCT(B16:W16,B6:W6)/100</f>
        <v>69623.214700000011</v>
      </c>
      <c r="Z16" s="31"/>
      <c r="AA16" t="s">
        <v>57</v>
      </c>
      <c r="AB16" s="29">
        <f>+SUMIF($A$3:$W$3,$AA16,$A$17:$W$17)</f>
        <v>6273</v>
      </c>
      <c r="AC16" s="2">
        <f>+AB16/$AB$30</f>
        <v>9.0099258229166465E-2</v>
      </c>
      <c r="AE16" s="98" t="s">
        <v>58</v>
      </c>
      <c r="AF16" s="29">
        <f t="shared" si="0"/>
        <v>6273</v>
      </c>
      <c r="AG16" s="2">
        <f>+AF16/$AF$22</f>
        <v>9.0099258229166451E-2</v>
      </c>
    </row>
    <row r="17" spans="1:39" x14ac:dyDescent="0.3">
      <c r="A17" s="34" t="s">
        <v>10</v>
      </c>
      <c r="B17" s="33">
        <f>+B16*B6/100</f>
        <v>2035</v>
      </c>
      <c r="C17" s="33">
        <f t="shared" ref="C17:W17" si="1">+C16*C6/100</f>
        <v>6273</v>
      </c>
      <c r="D17" s="33">
        <f t="shared" si="1"/>
        <v>4296</v>
      </c>
      <c r="E17" s="33">
        <f t="shared" si="1"/>
        <v>4130</v>
      </c>
      <c r="F17" s="33">
        <f t="shared" si="1"/>
        <v>6258</v>
      </c>
      <c r="G17" s="33">
        <f t="shared" si="1"/>
        <v>5037.5</v>
      </c>
      <c r="H17" s="33">
        <f t="shared" si="1"/>
        <v>4078</v>
      </c>
      <c r="I17" s="33">
        <f t="shared" si="1"/>
        <v>10450</v>
      </c>
      <c r="J17" s="33">
        <f t="shared" si="1"/>
        <v>4340</v>
      </c>
      <c r="K17" s="33">
        <f t="shared" si="1"/>
        <v>4242</v>
      </c>
      <c r="L17" s="33"/>
      <c r="M17" s="33">
        <f t="shared" si="1"/>
        <v>5240.25</v>
      </c>
      <c r="N17" s="33">
        <f t="shared" si="1"/>
        <v>2922.9</v>
      </c>
      <c r="P17" s="33">
        <f t="shared" si="1"/>
        <v>2348.2140000000004</v>
      </c>
      <c r="Q17" s="33">
        <f t="shared" si="1"/>
        <v>635.16250000000002</v>
      </c>
      <c r="R17" s="33">
        <f t="shared" si="1"/>
        <v>1081.5</v>
      </c>
      <c r="S17" s="33">
        <f t="shared" si="1"/>
        <v>441.2</v>
      </c>
      <c r="T17" s="33">
        <f t="shared" si="1"/>
        <v>2218</v>
      </c>
      <c r="U17" s="33">
        <v>2727</v>
      </c>
      <c r="V17" s="33"/>
      <c r="W17" s="33">
        <f t="shared" si="1"/>
        <v>869.48819999999989</v>
      </c>
      <c r="X17" s="32"/>
      <c r="Y17" s="1"/>
      <c r="Z17" s="31"/>
      <c r="AA17" t="s">
        <v>29</v>
      </c>
      <c r="AB17" s="29">
        <f>+SUMIF($A$3:$W$3,$AA17,$A$17:$W$17)</f>
        <v>6258</v>
      </c>
      <c r="AC17" s="2">
        <f>+AB17/$AB$30</f>
        <v>8.9883812848417621E-2</v>
      </c>
      <c r="AE17" t="s">
        <v>55</v>
      </c>
      <c r="AF17" s="29">
        <f t="shared" si="0"/>
        <v>4296</v>
      </c>
      <c r="AG17" s="2">
        <f>+AF17/$AF$22</f>
        <v>6.1703557046468849E-2</v>
      </c>
    </row>
    <row r="18" spans="1:39" ht="15" thickBot="1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M18" s="1"/>
      <c r="N18" s="99">
        <f>+SUM(B17:N17)</f>
        <v>59302.65</v>
      </c>
      <c r="AA18" t="s">
        <v>64</v>
      </c>
      <c r="AB18" s="29">
        <f>+SUMIF($A$3:$W$3,$AA18,$A$17:$W$17)</f>
        <v>5037.5</v>
      </c>
      <c r="AC18" s="2">
        <f>+AB18/$AB$30</f>
        <v>7.2353740368153369E-2</v>
      </c>
      <c r="AE18" t="s">
        <v>61</v>
      </c>
      <c r="AF18" s="29">
        <f t="shared" si="0"/>
        <v>4130</v>
      </c>
      <c r="AG18" s="2">
        <f>+AF18/$AF$22</f>
        <v>5.9319294832848313E-2</v>
      </c>
    </row>
    <row r="19" spans="1:39" ht="15" thickTop="1" x14ac:dyDescent="0.3">
      <c r="B19" s="24"/>
      <c r="M19" s="1"/>
      <c r="N19" s="33"/>
      <c r="AA19" t="s">
        <v>27</v>
      </c>
      <c r="AB19" s="30">
        <f>+SUMIF($A$3:$W$3,$AA19,$A$17:$W$17)</f>
        <v>4296</v>
      </c>
      <c r="AC19" s="2">
        <f>+AB19/$AB$30</f>
        <v>6.1703557046468863E-2</v>
      </c>
      <c r="AE19" t="s">
        <v>56</v>
      </c>
      <c r="AF19" s="29">
        <f t="shared" si="0"/>
        <v>2348.2140000000004</v>
      </c>
      <c r="AG19" s="2">
        <f>+AF19/$AF$22</f>
        <v>3.3727457287317693E-2</v>
      </c>
    </row>
    <row r="20" spans="1:39" x14ac:dyDescent="0.3">
      <c r="A20" t="s">
        <v>28</v>
      </c>
      <c r="B20" s="25">
        <f>+B$7/4</f>
        <v>1.8749999999999999E-2</v>
      </c>
      <c r="C20" s="25">
        <f>+C$7/4</f>
        <v>1.8724999999999999E-2</v>
      </c>
      <c r="D20" s="25"/>
      <c r="E20" s="25"/>
      <c r="F20" s="25"/>
      <c r="G20" s="25"/>
      <c r="H20" s="25"/>
      <c r="I20" s="25"/>
      <c r="J20" s="25"/>
      <c r="K20" s="25"/>
      <c r="L20" s="25"/>
      <c r="M20" s="25">
        <f>+$M$7/12</f>
        <v>5.0000000000000001E-3</v>
      </c>
      <c r="N20" s="25">
        <f>+$M$7/12</f>
        <v>5.0000000000000001E-3</v>
      </c>
      <c r="O20" s="25"/>
      <c r="P20" s="25">
        <f>+P$7/2</f>
        <v>0.04</v>
      </c>
      <c r="Q20" s="25"/>
      <c r="R20" s="25"/>
      <c r="S20" s="25"/>
      <c r="T20" s="25"/>
      <c r="U20" s="25">
        <v>4.1250000000000002E-2</v>
      </c>
      <c r="V20" s="25"/>
      <c r="W20" s="25"/>
      <c r="X20" s="88">
        <f>+SUMPRODUCT($B20:$W20,$B$16:$W$16)</f>
        <v>381.18</v>
      </c>
      <c r="Y20">
        <f>+COUNTA(B20:W20)</f>
        <v>6</v>
      </c>
      <c r="AA20" t="s">
        <v>59</v>
      </c>
      <c r="AB20" s="29">
        <f>+SUMIF($A$3:$W$3,$AA20,$A$17:$W$17)</f>
        <v>4242</v>
      </c>
      <c r="AC20" s="2">
        <f>+AB20/$AB$30</f>
        <v>6.0927953675773021E-2</v>
      </c>
      <c r="AE20" s="87" t="s">
        <v>169</v>
      </c>
      <c r="AF20" s="29">
        <f t="shared" si="0"/>
        <v>869.48819999999989</v>
      </c>
      <c r="AG20" s="2">
        <f>+AF20/$AF$22</f>
        <v>1.2488481087041784E-2</v>
      </c>
    </row>
    <row r="21" spans="1:39" s="87" customFormat="1" x14ac:dyDescent="0.3">
      <c r="A21" s="87" t="s">
        <v>26</v>
      </c>
      <c r="B21" s="25"/>
      <c r="C21" s="25"/>
      <c r="D21" s="25">
        <f>+D$7/2</f>
        <v>4.7500000000000001E-2</v>
      </c>
      <c r="E21" s="25">
        <f>+E$7/2</f>
        <v>0.04</v>
      </c>
      <c r="F21" s="25"/>
      <c r="G21" s="25"/>
      <c r="H21" s="25"/>
      <c r="I21" s="25"/>
      <c r="J21" s="25"/>
      <c r="K21" s="25"/>
      <c r="L21" s="25"/>
      <c r="M21" s="25">
        <f t="shared" ref="M21:N31" si="2">+$M$7/12</f>
        <v>5.0000000000000001E-3</v>
      </c>
      <c r="N21" s="25">
        <f t="shared" si="2"/>
        <v>5.0000000000000001E-3</v>
      </c>
      <c r="O21" s="25"/>
      <c r="P21" s="25"/>
      <c r="Q21" s="25"/>
      <c r="R21" s="25"/>
      <c r="S21" s="25"/>
      <c r="T21" s="25"/>
      <c r="U21" s="25"/>
      <c r="V21" s="25"/>
      <c r="W21" s="25"/>
      <c r="X21" s="88">
        <f>+SUMPRODUCT($B21:$W21,$B$16:$W$16)</f>
        <v>390.5</v>
      </c>
      <c r="Y21">
        <f>+COUNTA(B21:W21)</f>
        <v>4</v>
      </c>
      <c r="AA21" s="87" t="s">
        <v>60</v>
      </c>
      <c r="AB21" s="88">
        <f>+SUMIF($A$3:$W$3,$AA21,$A$17:$W$17)</f>
        <v>4130</v>
      </c>
      <c r="AC21" s="2">
        <f>+AB21/$AB$30</f>
        <v>5.931929483284832E-2</v>
      </c>
      <c r="AJ21"/>
      <c r="AK21"/>
      <c r="AL21"/>
      <c r="AM21"/>
    </row>
    <row r="22" spans="1:39" s="87" customFormat="1" ht="15" thickBot="1" x14ac:dyDescent="0.35">
      <c r="A22" s="87" t="s">
        <v>24</v>
      </c>
      <c r="B22" s="89"/>
      <c r="C22" s="89"/>
      <c r="D22" s="89"/>
      <c r="E22" s="89"/>
      <c r="F22" s="89">
        <f>+F$7/2</f>
        <v>3.95E-2</v>
      </c>
      <c r="G22" s="89">
        <f>+G$7/4</f>
        <v>1.9375E-2</v>
      </c>
      <c r="H22" s="89"/>
      <c r="I22" s="89"/>
      <c r="J22" s="89"/>
      <c r="K22" s="89"/>
      <c r="L22" s="89"/>
      <c r="M22" s="89">
        <f t="shared" si="2"/>
        <v>5.0000000000000001E-3</v>
      </c>
      <c r="N22" s="89">
        <f t="shared" si="2"/>
        <v>5.0000000000000001E-3</v>
      </c>
      <c r="O22" s="89"/>
      <c r="P22" s="89"/>
      <c r="Q22" s="89"/>
      <c r="R22" s="89"/>
      <c r="S22" s="89"/>
      <c r="T22" s="89"/>
      <c r="U22" s="89"/>
      <c r="V22" s="89"/>
      <c r="W22" s="89"/>
      <c r="X22" s="88">
        <f>+SUMPRODUCT($B22:$W22,$B$16:$W$16)</f>
        <v>374.375</v>
      </c>
      <c r="Y22" s="87">
        <f>+COUNTA(B22:W22)</f>
        <v>4</v>
      </c>
      <c r="AA22" s="87" t="s">
        <v>63</v>
      </c>
      <c r="AB22" s="88">
        <f>+SUMIF($A$3:$W$3,$AA22,$A$17:$W$17)</f>
        <v>4078</v>
      </c>
      <c r="AC22" s="2">
        <f>+AB22/$AB$30</f>
        <v>5.8572417512918994E-2</v>
      </c>
      <c r="AE22"/>
      <c r="AF22" s="90">
        <f>SUM(AF13:AF20)</f>
        <v>69623.214700000026</v>
      </c>
      <c r="AG22" s="91">
        <f>SUM(AG13:AG20)</f>
        <v>0.99999999999999967</v>
      </c>
      <c r="AJ22"/>
      <c r="AK22"/>
      <c r="AL22"/>
      <c r="AM22"/>
    </row>
    <row r="23" spans="1:39" s="87" customFormat="1" ht="15" thickTop="1" x14ac:dyDescent="0.3">
      <c r="A23" s="87" t="s">
        <v>23</v>
      </c>
      <c r="B23" s="89">
        <f>+B$7/4</f>
        <v>1.8749999999999999E-2</v>
      </c>
      <c r="C23" s="89">
        <f>+C$7/4</f>
        <v>1.8724999999999999E-2</v>
      </c>
      <c r="D23" s="89"/>
      <c r="E23" s="89"/>
      <c r="F23" s="89"/>
      <c r="G23" s="89"/>
      <c r="H23" s="89">
        <f>+H$7/2</f>
        <v>3.3750000000000002E-2</v>
      </c>
      <c r="I23" s="89"/>
      <c r="J23" s="89"/>
      <c r="K23" s="89"/>
      <c r="L23" s="89"/>
      <c r="M23" s="89">
        <f t="shared" si="2"/>
        <v>5.0000000000000001E-3</v>
      </c>
      <c r="N23" s="89">
        <f t="shared" si="2"/>
        <v>5.0000000000000001E-3</v>
      </c>
      <c r="O23" s="89"/>
      <c r="P23" s="89"/>
      <c r="Q23" s="89">
        <f>+Q$7/2</f>
        <v>3.7499999999999999E-2</v>
      </c>
      <c r="R23" s="89"/>
      <c r="S23" s="89">
        <f>+S$7/2</f>
        <v>4.5624999999999999E-2</v>
      </c>
      <c r="T23" s="89"/>
      <c r="U23" s="89"/>
      <c r="V23" s="89"/>
      <c r="W23" s="25">
        <f>+W$7/2</f>
        <v>3.44E-2</v>
      </c>
      <c r="X23" s="88">
        <f>+SUMPRODUCT($B23:$W23,$B$16:$W$16)</f>
        <v>440.03710000000001</v>
      </c>
      <c r="Y23" s="87">
        <f>+COUNTA(B23:W23)</f>
        <v>8</v>
      </c>
      <c r="AA23" s="87" t="s">
        <v>51</v>
      </c>
      <c r="AB23" s="88">
        <f>+SUMIF($A$3:$W$3,$AA23,$A$17:$W$17)</f>
        <v>2727</v>
      </c>
      <c r="AC23" s="2">
        <f>+AB23/$AB$30</f>
        <v>3.9167970220139799E-2</v>
      </c>
      <c r="AE23"/>
      <c r="AF23" s="105">
        <f>+AF22-AB30</f>
        <v>0</v>
      </c>
      <c r="AJ23"/>
      <c r="AK23"/>
      <c r="AL23"/>
      <c r="AM23"/>
    </row>
    <row r="24" spans="1:39" s="87" customFormat="1" x14ac:dyDescent="0.3">
      <c r="A24" s="87" t="s">
        <v>22</v>
      </c>
      <c r="B24" s="89"/>
      <c r="C24" s="89"/>
      <c r="D24" s="89"/>
      <c r="E24" s="89"/>
      <c r="F24" s="89"/>
      <c r="G24" s="89"/>
      <c r="H24" s="89"/>
      <c r="I24" s="89">
        <f>+I$7/2</f>
        <v>0.04</v>
      </c>
      <c r="J24" s="89"/>
      <c r="K24" s="89"/>
      <c r="L24" s="89"/>
      <c r="M24" s="89">
        <f t="shared" si="2"/>
        <v>5.0000000000000001E-3</v>
      </c>
      <c r="N24" s="89">
        <f t="shared" si="2"/>
        <v>5.0000000000000001E-3</v>
      </c>
      <c r="O24" s="89"/>
      <c r="P24" s="89"/>
      <c r="Q24" s="89"/>
      <c r="R24" s="89">
        <f>+R$7/2</f>
        <v>4.0625000000000001E-2</v>
      </c>
      <c r="S24" s="89"/>
      <c r="T24" s="89"/>
      <c r="U24" s="89"/>
      <c r="V24" s="89"/>
      <c r="W24" s="25"/>
      <c r="X24" s="88">
        <f>+SUMPRODUCT($B24:$W24,$B$16:$W$16)</f>
        <v>481.125</v>
      </c>
      <c r="Y24" s="87">
        <f>+COUNTA(B24:W24)</f>
        <v>4</v>
      </c>
      <c r="AA24" s="87" t="s">
        <v>48</v>
      </c>
      <c r="AB24" s="88">
        <f>+SUMIF($A$3:$W$3,$AA24,$A$17:$W$17)</f>
        <v>2348.2140000000004</v>
      </c>
      <c r="AC24" s="2">
        <f>+AB24/$AB$30</f>
        <v>3.37274572873177E-2</v>
      </c>
      <c r="AE24"/>
      <c r="AJ24"/>
      <c r="AK24"/>
      <c r="AL24"/>
      <c r="AM24"/>
    </row>
    <row r="25" spans="1:39" s="87" customFormat="1" x14ac:dyDescent="0.3">
      <c r="A25" s="87" t="s">
        <v>21</v>
      </c>
      <c r="B25" s="89"/>
      <c r="C25" s="89"/>
      <c r="D25" s="89"/>
      <c r="E25" s="89"/>
      <c r="F25" s="89"/>
      <c r="G25" s="89">
        <f>+G$7/4</f>
        <v>1.9375E-2</v>
      </c>
      <c r="H25" s="89"/>
      <c r="I25" s="89"/>
      <c r="J25" s="89">
        <f>+J$7/2</f>
        <v>4.8750000000000002E-2</v>
      </c>
      <c r="K25" s="89">
        <f>+K$7/2</f>
        <v>3.7499999999999999E-2</v>
      </c>
      <c r="L25" s="89"/>
      <c r="M25" s="89">
        <f t="shared" si="2"/>
        <v>5.0000000000000001E-3</v>
      </c>
      <c r="N25" s="89">
        <f t="shared" si="2"/>
        <v>5.0000000000000001E-3</v>
      </c>
      <c r="O25" s="89"/>
      <c r="P25" s="89"/>
      <c r="Q25" s="89"/>
      <c r="R25" s="89"/>
      <c r="S25" s="89"/>
      <c r="T25" s="89">
        <f>+T$7/2</f>
        <v>4.2500000000000003E-2</v>
      </c>
      <c r="U25" s="89"/>
      <c r="V25" s="89"/>
      <c r="W25" s="89"/>
      <c r="X25" s="88">
        <f>+SUMPRODUCT($B25:$W25,$B$16:$W$16)</f>
        <v>567.375</v>
      </c>
      <c r="Y25" s="87">
        <f>+COUNTA(B25:W25)</f>
        <v>6</v>
      </c>
      <c r="AA25" s="87" t="s">
        <v>50</v>
      </c>
      <c r="AB25" s="88">
        <f>+SUMIF($A$3:$W$3,$AA25,$A$17:$W$17)</f>
        <v>2218</v>
      </c>
      <c r="AC25" s="2">
        <f>+AB25/$AB$30</f>
        <v>3.1857190300062364E-2</v>
      </c>
      <c r="AE25"/>
      <c r="AJ25"/>
      <c r="AK25"/>
      <c r="AL25"/>
      <c r="AM25"/>
    </row>
    <row r="26" spans="1:39" s="87" customFormat="1" x14ac:dyDescent="0.3">
      <c r="A26" s="87" t="s">
        <v>20</v>
      </c>
      <c r="B26" s="89">
        <f>+B$7/4</f>
        <v>1.8749999999999999E-2</v>
      </c>
      <c r="C26" s="89">
        <f>+C$7/4</f>
        <v>1.8724999999999999E-2</v>
      </c>
      <c r="D26" s="89"/>
      <c r="E26" s="89"/>
      <c r="F26" s="89"/>
      <c r="G26" s="89"/>
      <c r="H26" s="89"/>
      <c r="I26" s="89"/>
      <c r="J26" s="89"/>
      <c r="K26" s="89"/>
      <c r="L26" s="89"/>
      <c r="M26" s="89">
        <f t="shared" si="2"/>
        <v>5.0000000000000001E-3</v>
      </c>
      <c r="N26" s="89">
        <f t="shared" si="2"/>
        <v>5.0000000000000001E-3</v>
      </c>
      <c r="O26" s="89"/>
      <c r="P26" s="89">
        <f>+P$7/2</f>
        <v>0.04</v>
      </c>
      <c r="Q26" s="89"/>
      <c r="R26" s="89"/>
      <c r="S26" s="89"/>
      <c r="T26" s="89"/>
      <c r="U26" s="89">
        <v>4.1250000000000002E-2</v>
      </c>
      <c r="V26" s="89"/>
      <c r="W26" s="89"/>
      <c r="X26" s="88">
        <f>+SUMPRODUCT($B26:$W26,$B$16:$W$16)</f>
        <v>381.18</v>
      </c>
      <c r="Y26" s="87">
        <f>+COUNTA(B26:W26)</f>
        <v>6</v>
      </c>
      <c r="AA26" t="s">
        <v>49</v>
      </c>
      <c r="AB26" s="88">
        <f>+SUMIF($A$3:$W$3,$AA26,$A$17:$W$17)</f>
        <v>1716.6624999999999</v>
      </c>
      <c r="AC26" s="2">
        <f>+AB26/$AB$30</f>
        <v>2.4656467061984134E-2</v>
      </c>
      <c r="AE26"/>
      <c r="AJ26"/>
      <c r="AK26"/>
      <c r="AL26"/>
      <c r="AM26"/>
    </row>
    <row r="27" spans="1:39" s="87" customFormat="1" x14ac:dyDescent="0.3">
      <c r="A27" s="87" t="s">
        <v>19</v>
      </c>
      <c r="B27" s="89"/>
      <c r="C27" s="89"/>
      <c r="D27" s="89">
        <f>+D$7/2</f>
        <v>4.7500000000000001E-2</v>
      </c>
      <c r="E27" s="89">
        <f>+E$7/2</f>
        <v>0.04</v>
      </c>
      <c r="F27" s="89"/>
      <c r="G27" s="89"/>
      <c r="H27" s="89"/>
      <c r="I27" s="89"/>
      <c r="J27" s="89"/>
      <c r="K27" s="89"/>
      <c r="L27" s="89"/>
      <c r="M27" s="89">
        <f t="shared" si="2"/>
        <v>5.0000000000000001E-3</v>
      </c>
      <c r="N27" s="89">
        <f t="shared" si="2"/>
        <v>5.0000000000000001E-3</v>
      </c>
      <c r="O27" s="89"/>
      <c r="P27" s="89"/>
      <c r="Q27" s="89"/>
      <c r="R27" s="89"/>
      <c r="S27" s="89"/>
      <c r="T27" s="89"/>
      <c r="U27" s="89"/>
      <c r="V27" s="89"/>
      <c r="W27" s="89"/>
      <c r="X27" s="88">
        <f>+SUMPRODUCT($B27:$W27,$B$16:$W$16)</f>
        <v>390.5</v>
      </c>
      <c r="Y27" s="87">
        <f>+COUNTA(B27:W27)</f>
        <v>4</v>
      </c>
      <c r="AA27" t="s">
        <v>168</v>
      </c>
      <c r="AB27" s="88">
        <f>+SUMIF($A$3:$W$3,$AA27,$A$17:$W$17)</f>
        <v>869.48819999999989</v>
      </c>
      <c r="AC27" s="2">
        <f>+AB27/$AB$30</f>
        <v>1.2488481087041788E-2</v>
      </c>
      <c r="AE27"/>
      <c r="AJ27"/>
      <c r="AK27"/>
      <c r="AL27"/>
      <c r="AM27"/>
    </row>
    <row r="28" spans="1:39" s="87" customFormat="1" x14ac:dyDescent="0.3">
      <c r="A28" s="87" t="s">
        <v>18</v>
      </c>
      <c r="B28" s="89"/>
      <c r="C28" s="89"/>
      <c r="D28" s="89"/>
      <c r="E28" s="89"/>
      <c r="F28" s="89">
        <f>+F$7/2</f>
        <v>3.95E-2</v>
      </c>
      <c r="G28" s="89">
        <f>+G$7/4</f>
        <v>1.9375E-2</v>
      </c>
      <c r="H28" s="89"/>
      <c r="I28" s="89"/>
      <c r="J28" s="89"/>
      <c r="K28" s="89"/>
      <c r="L28" s="89"/>
      <c r="M28" s="89">
        <f t="shared" si="2"/>
        <v>5.0000000000000001E-3</v>
      </c>
      <c r="N28" s="89">
        <f t="shared" si="2"/>
        <v>5.0000000000000001E-3</v>
      </c>
      <c r="O28" s="89"/>
      <c r="P28" s="89"/>
      <c r="Q28" s="89"/>
      <c r="R28" s="89"/>
      <c r="S28" s="89"/>
      <c r="T28" s="89"/>
      <c r="U28" s="89"/>
      <c r="V28" s="89"/>
      <c r="W28" s="89"/>
      <c r="X28" s="88">
        <f>+SUMPRODUCT($B28:$W28,$B$16:$W$16)</f>
        <v>374.375</v>
      </c>
      <c r="Y28" s="87">
        <f>+COUNTA(B28:W28)</f>
        <v>4</v>
      </c>
      <c r="AA28" t="s">
        <v>30</v>
      </c>
      <c r="AB28" s="88">
        <f>+SUMIF($A$3:$W$3,$AA28,$A$17:$W$17)</f>
        <v>441.2</v>
      </c>
      <c r="AC28" s="2">
        <f>+AB28/$AB$30</f>
        <v>6.3369667990926587E-3</v>
      </c>
      <c r="AE28"/>
      <c r="AF28"/>
      <c r="AG28"/>
    </row>
    <row r="29" spans="1:39" x14ac:dyDescent="0.3">
      <c r="A29" s="87" t="s">
        <v>17</v>
      </c>
      <c r="B29" s="89">
        <f>+B$7/4</f>
        <v>1.8749999999999999E-2</v>
      </c>
      <c r="C29" s="89">
        <f>+C$7/4</f>
        <v>1.8724999999999999E-2</v>
      </c>
      <c r="D29" s="89"/>
      <c r="E29" s="89"/>
      <c r="F29" s="89"/>
      <c r="G29" s="89"/>
      <c r="H29" s="89">
        <f>+H$7/2</f>
        <v>3.3750000000000002E-2</v>
      </c>
      <c r="I29" s="89"/>
      <c r="J29" s="89"/>
      <c r="K29" s="89"/>
      <c r="L29" s="89"/>
      <c r="M29" s="89">
        <f t="shared" si="2"/>
        <v>5.0000000000000001E-3</v>
      </c>
      <c r="N29" s="89">
        <f t="shared" si="2"/>
        <v>5.0000000000000001E-3</v>
      </c>
      <c r="O29" s="89"/>
      <c r="P29" s="89"/>
      <c r="Q29" s="89">
        <f>+Q$7/2</f>
        <v>3.7499999999999999E-2</v>
      </c>
      <c r="R29" s="89"/>
      <c r="S29" s="89">
        <f>+S$7/2</f>
        <v>4.5624999999999999E-2</v>
      </c>
      <c r="T29" s="89"/>
      <c r="U29" s="89"/>
      <c r="V29" s="89"/>
      <c r="W29" s="89">
        <f>+W$7/2</f>
        <v>3.44E-2</v>
      </c>
      <c r="X29" s="88">
        <f>+SUMPRODUCT($B29:$W29,$B$16:$W$16)</f>
        <v>440.03710000000001</v>
      </c>
      <c r="Y29" s="87">
        <f>+COUNTA(B29:W29)</f>
        <v>8</v>
      </c>
      <c r="AA29" s="87"/>
      <c r="AB29" s="87"/>
      <c r="AC29" s="87"/>
    </row>
    <row r="30" spans="1:39" ht="15" thickBot="1" x14ac:dyDescent="0.35">
      <c r="A30" s="87" t="s">
        <v>16</v>
      </c>
      <c r="B30" s="25"/>
      <c r="C30" s="25"/>
      <c r="D30" s="25"/>
      <c r="E30" s="25"/>
      <c r="F30" s="25"/>
      <c r="G30" s="25"/>
      <c r="H30" s="25"/>
      <c r="I30" s="89">
        <f>+I$7/2</f>
        <v>0.04</v>
      </c>
      <c r="J30" s="25"/>
      <c r="K30" s="25"/>
      <c r="L30" s="25"/>
      <c r="M30" s="25">
        <f t="shared" si="2"/>
        <v>5.0000000000000001E-3</v>
      </c>
      <c r="N30" s="25">
        <f t="shared" si="2"/>
        <v>5.0000000000000001E-3</v>
      </c>
      <c r="O30" s="25"/>
      <c r="P30" s="25"/>
      <c r="Q30" s="25"/>
      <c r="R30" s="25">
        <f>+R$7/2</f>
        <v>4.0625000000000001E-2</v>
      </c>
      <c r="S30" s="25"/>
      <c r="T30" s="25"/>
      <c r="U30" s="25"/>
      <c r="V30" s="25"/>
      <c r="W30" s="25"/>
      <c r="X30" s="88">
        <f>+SUMPRODUCT($B30:$W30,$B$16:$W$16)</f>
        <v>481.125</v>
      </c>
      <c r="Y30">
        <f>+COUNTA(B30:W30)</f>
        <v>4</v>
      </c>
      <c r="AB30" s="90">
        <f>SUM(AB13:AB29)</f>
        <v>69623.214700000011</v>
      </c>
      <c r="AC30" s="91">
        <f>SUM(AC13:AC29)</f>
        <v>1</v>
      </c>
    </row>
    <row r="31" spans="1:39" ht="15" thickTop="1" x14ac:dyDescent="0.3">
      <c r="A31" t="s">
        <v>15</v>
      </c>
      <c r="B31" s="25"/>
      <c r="C31" s="25"/>
      <c r="D31" s="25"/>
      <c r="E31" s="25"/>
      <c r="F31" s="25"/>
      <c r="G31" s="25">
        <f>+G$7/4</f>
        <v>1.9375E-2</v>
      </c>
      <c r="H31" s="25"/>
      <c r="I31" s="25"/>
      <c r="J31" s="25">
        <f>+J$7/2</f>
        <v>4.8750000000000002E-2</v>
      </c>
      <c r="K31" s="25">
        <f>+K$7/2</f>
        <v>3.7499999999999999E-2</v>
      </c>
      <c r="L31" s="25"/>
      <c r="M31" s="25">
        <f t="shared" si="2"/>
        <v>5.0000000000000001E-3</v>
      </c>
      <c r="N31" s="25">
        <f t="shared" si="2"/>
        <v>5.0000000000000001E-3</v>
      </c>
      <c r="O31" s="25"/>
      <c r="P31" s="25"/>
      <c r="Q31" s="25"/>
      <c r="R31" s="25"/>
      <c r="S31" s="25"/>
      <c r="T31" s="25">
        <f>+T$7/2</f>
        <v>4.2500000000000003E-2</v>
      </c>
      <c r="U31" s="25"/>
      <c r="V31" s="25"/>
      <c r="W31" s="25"/>
      <c r="X31" s="88">
        <f>+SUMPRODUCT($B31:$W31,$B$16:$W$16)</f>
        <v>567.375</v>
      </c>
      <c r="Y31">
        <f>+COUNTA(B31:W31)</f>
        <v>6</v>
      </c>
      <c r="AB31" s="95">
        <f>+SUM(B17:W17)-AB30</f>
        <v>0</v>
      </c>
      <c r="AC31" s="87"/>
    </row>
    <row r="32" spans="1:39" ht="15" thickBot="1" x14ac:dyDescent="0.35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8">
        <f>SUM(X20:X31)</f>
        <v>5269.1841999999997</v>
      </c>
      <c r="Y32" s="27">
        <f>+X32/$AB$4</f>
        <v>8.7819736666666662E-2</v>
      </c>
    </row>
    <row r="33" spans="2:24" ht="15" thickTop="1" x14ac:dyDescent="0.3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6"/>
    </row>
    <row r="34" spans="2:24" x14ac:dyDescent="0.3">
      <c r="B34" s="25"/>
      <c r="C34" s="25"/>
      <c r="D34" s="106" t="s">
        <v>183</v>
      </c>
      <c r="E34" s="106" t="s">
        <v>184</v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 spans="2:24" x14ac:dyDescent="0.3">
      <c r="D35" t="s">
        <v>28</v>
      </c>
      <c r="E35" s="29">
        <v>381.18</v>
      </c>
    </row>
    <row r="36" spans="2:24" x14ac:dyDescent="0.3">
      <c r="D36" t="s">
        <v>26</v>
      </c>
      <c r="E36" s="29">
        <v>390.5</v>
      </c>
    </row>
    <row r="37" spans="2:24" x14ac:dyDescent="0.3">
      <c r="D37" t="s">
        <v>24</v>
      </c>
      <c r="E37" s="29">
        <v>374.375</v>
      </c>
    </row>
    <row r="38" spans="2:24" x14ac:dyDescent="0.3">
      <c r="D38" t="s">
        <v>23</v>
      </c>
      <c r="E38" s="29">
        <v>440.03710000000001</v>
      </c>
    </row>
    <row r="39" spans="2:24" x14ac:dyDescent="0.3">
      <c r="D39" t="s">
        <v>22</v>
      </c>
      <c r="E39" s="29">
        <v>481.125</v>
      </c>
    </row>
    <row r="40" spans="2:24" x14ac:dyDescent="0.3">
      <c r="D40" t="s">
        <v>21</v>
      </c>
      <c r="E40" s="29">
        <v>567.375</v>
      </c>
    </row>
    <row r="41" spans="2:24" x14ac:dyDescent="0.3">
      <c r="D41" t="s">
        <v>20</v>
      </c>
      <c r="E41" s="29">
        <v>381.18</v>
      </c>
    </row>
    <row r="42" spans="2:24" x14ac:dyDescent="0.3">
      <c r="D42" t="s">
        <v>19</v>
      </c>
      <c r="E42" s="29">
        <v>390.5</v>
      </c>
    </row>
    <row r="43" spans="2:24" x14ac:dyDescent="0.3">
      <c r="D43" t="s">
        <v>18</v>
      </c>
      <c r="E43" s="29">
        <v>374.375</v>
      </c>
    </row>
    <row r="44" spans="2:24" x14ac:dyDescent="0.3">
      <c r="D44" t="s">
        <v>17</v>
      </c>
      <c r="E44" s="29">
        <v>440.03710000000001</v>
      </c>
    </row>
    <row r="45" spans="2:24" x14ac:dyDescent="0.3">
      <c r="D45" t="s">
        <v>16</v>
      </c>
      <c r="E45" s="29">
        <v>481.125</v>
      </c>
    </row>
    <row r="46" spans="2:24" x14ac:dyDescent="0.3">
      <c r="D46" t="s">
        <v>15</v>
      </c>
      <c r="E46" s="29">
        <v>567.375</v>
      </c>
    </row>
  </sheetData>
  <mergeCells count="2">
    <mergeCell ref="P1:W1"/>
    <mergeCell ref="B1:N1"/>
  </mergeCells>
  <pageMargins left="0.7" right="0.7" top="0.75" bottom="0.75" header="0.3" footer="0.3"/>
  <ignoredErrors>
    <ignoredError sqref="X2:AD3 A13 K13 W18:Z18 Z16 W33:Y1048576 O30:Q30 O31:S31 S30 O20:O26 Q20:T22 O27:P29 R23 T23:T24 O15:O16 X15:Z15 L15 J25:J31 A2:B12 J6:K7 A20:B1048576 A15:A16 D2:D7 D20:D33 J20:K24 F2:F9 F20:F1048576 L20:L31 AD14:AD16 F11:F12 J11:K12 J10 D9:D12 J9:K9 J8 L6:L13 O13 X13:Z13 O4 X4:AA4 J32:L1048576 J3:L5 W30:W32 Y20:Y32 AC4:AD4 AC6:AD6 Z5:AD5 Z6:AA6 Z7:AD7 X5:X8 W11:AD11 X9:Z10 AC8:AD10 Z8 W12:AA12 AH12:AI16 AC12:AD13 AD18:AD30 AH18:AI27 AF27:AG32 AF1:XFD10 A18 Z19:Z1048576 AB32:AC33 AN12:XFD16 AN18:XFD27 A1 W1:AD1 P1:T1 O5:T12 O32:T1048576 O18:T18 O2:T3 AA34:AC1048576 AH28:XFD1048576 J2 L2 AD33:AG1048576 AD31:AD32 AF11:AH11 AJ11:XFD11 D47:D1048576" numberStoredAsText="1"/>
  </ignoredErrors>
  <drawing r:id="rId1"/>
</worksheet>
</file>

<file path=docMetadata/LabelInfo.xml><?xml version="1.0" encoding="utf-8"?>
<clbl:labelList xmlns:clbl="http://schemas.microsoft.com/office/2020/mipLabelMetadata">
  <clbl:label id="{1123ebae-a006-42c7-9ea3-c84a2feb0e65}" enabled="0" method="" siteId="{1123ebae-a006-42c7-9ea3-c84a2feb0e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Propuesta</vt:lpstr>
      <vt:lpstr>CEDEARS</vt:lpstr>
      <vt:lpstr>Renta Fija pago 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2026-07-14T02:57:50Z</dcterms:modified>
</cp:coreProperties>
</file>